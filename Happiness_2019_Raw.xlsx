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8180" activeTab="1"/>
  </bookViews>
  <sheets>
    <sheet name="Pivot_country" sheetId="3" r:id="rId1"/>
    <sheet name="Dashboard" sheetId="7" r:id="rId2"/>
    <sheet name="Pivot_GDP" sheetId="4" r:id="rId3"/>
    <sheet name="scatter_data" sheetId="6" r:id="rId4"/>
    <sheet name="Pivot_life" sheetId="5" r:id="rId5"/>
    <sheet name="Analysis_data" sheetId="2" r:id="rId6"/>
    <sheet name="Happiness_2019_Raw" sheetId="1" r:id="rId7"/>
  </sheets>
  <calcPr calcId="162913"/>
  <pivotCaches>
    <pivotCache cacheId="0" r:id="rId8"/>
  </pivotCaches>
</workbook>
</file>

<file path=xl/calcChain.xml><?xml version="1.0" encoding="utf-8"?>
<calcChain xmlns="http://schemas.openxmlformats.org/spreadsheetml/2006/main">
  <c r="B6" i="7" l="1"/>
  <c r="E4" i="7"/>
  <c r="E2" i="7"/>
  <c r="B2" i="7"/>
  <c r="M7" i="2" l="1"/>
  <c r="M6" i="2"/>
  <c r="M5" i="2"/>
  <c r="M4" i="2"/>
  <c r="M3" i="2"/>
</calcChain>
</file>

<file path=xl/sharedStrings.xml><?xml version="1.0" encoding="utf-8"?>
<sst xmlns="http://schemas.openxmlformats.org/spreadsheetml/2006/main" count="509" uniqueCount="179">
  <si>
    <t>Overall rank</t>
  </si>
  <si>
    <t>Country or region</t>
  </si>
  <si>
    <t>Score</t>
  </si>
  <si>
    <t>GDP per capita</t>
  </si>
  <si>
    <t>Social support</t>
  </si>
  <si>
    <t>Healthy life expectancy</t>
  </si>
  <si>
    <t>Generosity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</si>
  <si>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</si>
  <si>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</si>
  <si>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</si>
  <si>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</si>
  <si>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</si>
  <si>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</si>
  <si>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</si>
  <si>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</si>
  <si>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</si>
  <si>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</si>
  <si>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</si>
  <si>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</si>
  <si>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</si>
  <si>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</si>
  <si>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</si>
  <si>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</si>
  <si>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</si>
  <si>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</si>
  <si>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</si>
  <si>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</si>
  <si>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</si>
  <si>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</si>
  <si>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</si>
  <si>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</si>
  <si>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</si>
  <si>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</si>
  <si>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</si>
  <si>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</si>
  <si>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</si>
  <si>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</si>
  <si>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</si>
  <si>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</si>
  <si>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</si>
  <si>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</si>
  <si>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</si>
  <si>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</si>
  <si>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</si>
  <si>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</si>
  <si>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</si>
  <si>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</si>
  <si>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</si>
  <si>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</si>
  <si>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</si>
  <si>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</si>
  <si>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</si>
  <si>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</si>
  <si>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</si>
  <si>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</si>
  <si>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</si>
  <si>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</si>
  <si>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</si>
  <si>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</si>
  <si>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</si>
  <si>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</si>
  <si>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</si>
  <si>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</si>
  <si>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</si>
  <si>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</si>
  <si>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</si>
  <si>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</si>
  <si>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</si>
  <si>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</si>
  <si>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</si>
  <si>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</si>
  <si>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</si>
  <si>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</si>
  <si>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</si>
  <si>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</si>
  <si>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</si>
  <si>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</si>
  <si>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</si>
  <si>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</si>
  <si>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</si>
  <si>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</si>
  <si>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</si>
  <si>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</si>
  <si>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</si>
  <si>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</si>
  <si>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</si>
  <si>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</si>
  <si>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</si>
  <si>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</si>
  <si>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</si>
  <si>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</si>
  <si>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</si>
  <si>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</si>
  <si>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</si>
  <si>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</si>
  <si>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</si>
  <si>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</si>
  <si>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</si>
  <si>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</si>
  <si>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</si>
  <si>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</si>
  <si>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</si>
  <si>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</si>
  <si>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</si>
  <si>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</si>
  <si>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</si>
  <si>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</si>
  <si>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</si>
  <si>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</si>
  <si>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</si>
  <si>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</si>
  <si>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</si>
  <si>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</si>
  <si>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</si>
  <si>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</si>
  <si>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</si>
  <si>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</si>
  <si>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</si>
  <si>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</si>
  <si>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</si>
  <si>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</si>
  <si>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</si>
  <si>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</si>
  <si>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</si>
  <si>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</si>
  <si>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</si>
  <si>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</si>
  <si>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</si>
  <si>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</si>
  <si>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</si>
  <si>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</si>
  <si>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</si>
  <si>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</si>
  <si>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</si>
  <si>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</si>
  <si>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</si>
  <si>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</si>
  <si>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</si>
  <si>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</si>
  <si>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</si>
  <si>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</si>
  <si>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</si>
  <si>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</si>
  <si>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</si>
  <si>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</si>
  <si>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</si>
  <si>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</si>
  <si>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</si>
  <si>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</si>
  <si>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</si>
  <si>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</si>
  <si>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</si>
  <si>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</si>
  <si>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</si>
  <si>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</si>
  <si>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</si>
  <si>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</si>
  <si>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</si>
  <si>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</si>
  <si>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</si>
  <si>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</si>
  <si>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</si>
  <si>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</si>
  <si>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Freedom</t>
  </si>
  <si>
    <t>Corruption</t>
  </si>
  <si>
    <t>KPI</t>
  </si>
  <si>
    <t>Lowest Happiness Score</t>
  </si>
  <si>
    <t>Average GDP</t>
  </si>
  <si>
    <t>Average Life Expectancy</t>
  </si>
  <si>
    <t>Highest Happiness Score</t>
  </si>
  <si>
    <t>Average Happiness Score</t>
  </si>
  <si>
    <t>Row Labels</t>
  </si>
  <si>
    <t>Grand Total</t>
  </si>
  <si>
    <t>Average of Score</t>
  </si>
  <si>
    <t>Global Average Happiness</t>
  </si>
  <si>
    <t>Global Avg GDP per Capita</t>
  </si>
  <si>
    <t>Global Avg Life Expectancy</t>
  </si>
  <si>
    <t>Global Avg Social Support</t>
  </si>
  <si>
    <t>Total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</si>
</sst>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4" borderId="10" xfId="0" applyFont="1" applyFill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[Happiness_2019_Raw.xlsx]Pivot_country!PivotTable1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Pivot_country!$A$4:$A$160</c:f>
              <c:strCache>
                <c:ptCount val="156"/>
                <c:pt idx="0">
                  <c:v>Finland</c:v>
                </c:pt>
                <c:pt idx="1">
                  <c:v>Denmark</c:v>
                </c:pt>
                <c:pt idx="2">
                  <c:v>Norway</c:v>
                </c:pt>
                <c:pt idx="3">
                  <c:v>Iceland</c:v>
                </c:pt>
                <c:pt idx="4">
                  <c:v>Netherlands</c:v>
                </c:pt>
                <c:pt idx="5">
                  <c:v>Switzerland</c:v>
                </c:pt>
                <c:pt idx="6">
                  <c:v>Sweden</c:v>
                </c:pt>
                <c:pt idx="7">
                  <c:v>New Zealand</c:v>
                </c:pt>
                <c:pt idx="8">
                  <c:v>Canada</c:v>
                </c:pt>
                <c:pt idx="9">
                  <c:v>Austria</c:v>
                </c:pt>
                <c:pt idx="10">
                  <c:v>Australia</c:v>
                </c:pt>
                <c:pt idx="11">
                  <c:v>Costa Rica</c:v>
                </c:pt>
                <c:pt idx="12">
                  <c:v>Israel</c:v>
                </c:pt>
                <c:pt idx="13">
                  <c:v>Luxembourg</c:v>
                </c:pt>
                <c:pt idx="14">
                  <c:v>United Kingdom</c:v>
                </c:pt>
                <c:pt idx="15">
                  <c:v>Ireland</c:v>
                </c:pt>
                <c:pt idx="16">
                  <c:v>Germany</c:v>
                </c:pt>
                <c:pt idx="17">
                  <c:v>Belgium</c:v>
                </c:pt>
                <c:pt idx="18">
                  <c:v>United States</c:v>
                </c:pt>
                <c:pt idx="19">
                  <c:v>Czech Republic</c:v>
                </c:pt>
                <c:pt idx="20">
                  <c:v>United Arab Emirates</c:v>
                </c:pt>
                <c:pt idx="21">
                  <c:v>Malta</c:v>
                </c:pt>
                <c:pt idx="22">
                  <c:v>Mexico</c:v>
                </c:pt>
                <c:pt idx="23">
                  <c:v>France</c:v>
                </c:pt>
                <c:pt idx="24">
                  <c:v>Taiwan</c:v>
                </c:pt>
                <c:pt idx="25">
                  <c:v>Chile</c:v>
                </c:pt>
                <c:pt idx="26">
                  <c:v>Guatemala</c:v>
                </c:pt>
                <c:pt idx="27">
                  <c:v>Saudi Arabia</c:v>
                </c:pt>
                <c:pt idx="28">
                  <c:v>Qatar</c:v>
                </c:pt>
                <c:pt idx="29">
                  <c:v>Spain</c:v>
                </c:pt>
                <c:pt idx="30">
                  <c:v>Panama</c:v>
                </c:pt>
                <c:pt idx="31">
                  <c:v>Brazil</c:v>
                </c:pt>
                <c:pt idx="32">
                  <c:v>Uruguay</c:v>
                </c:pt>
                <c:pt idx="33">
                  <c:v>Singapore</c:v>
                </c:pt>
                <c:pt idx="34">
                  <c:v>El Salvador</c:v>
                </c:pt>
                <c:pt idx="35">
                  <c:v>Italy</c:v>
                </c:pt>
                <c:pt idx="36">
                  <c:v>Bahrain</c:v>
                </c:pt>
                <c:pt idx="37">
                  <c:v>Slovakia</c:v>
                </c:pt>
                <c:pt idx="38">
                  <c:v>Trinidad &amp; Tobago</c:v>
                </c:pt>
                <c:pt idx="39">
                  <c:v>Poland</c:v>
                </c:pt>
                <c:pt idx="40">
                  <c:v>Uzbekistan</c:v>
                </c:pt>
                <c:pt idx="41">
                  <c:v>Lithuania</c:v>
                </c:pt>
                <c:pt idx="42">
                  <c:v>Colombia</c:v>
                </c:pt>
                <c:pt idx="43">
                  <c:v>Slovenia</c:v>
                </c:pt>
                <c:pt idx="44">
                  <c:v>Nicaragua</c:v>
                </c:pt>
                <c:pt idx="45">
                  <c:v>Kosovo</c:v>
                </c:pt>
                <c:pt idx="46">
                  <c:v>Argentina</c:v>
                </c:pt>
                <c:pt idx="47">
                  <c:v>Romania</c:v>
                </c:pt>
                <c:pt idx="48">
                  <c:v>Cyprus</c:v>
                </c:pt>
                <c:pt idx="49">
                  <c:v>Ecuador</c:v>
                </c:pt>
                <c:pt idx="50">
                  <c:v>Kuwait</c:v>
                </c:pt>
                <c:pt idx="51">
                  <c:v>Thailand</c:v>
                </c:pt>
                <c:pt idx="52">
                  <c:v>Latvia</c:v>
                </c:pt>
                <c:pt idx="53">
                  <c:v>South Korea</c:v>
                </c:pt>
                <c:pt idx="54">
                  <c:v>Estonia</c:v>
                </c:pt>
                <c:pt idx="55">
                  <c:v>Jamaica</c:v>
                </c:pt>
                <c:pt idx="56">
                  <c:v>Mauritius</c:v>
                </c:pt>
                <c:pt idx="57">
                  <c:v>Japan</c:v>
                </c:pt>
                <c:pt idx="58">
                  <c:v>Honduras</c:v>
                </c:pt>
                <c:pt idx="59">
                  <c:v>Kazakhstan</c:v>
                </c:pt>
                <c:pt idx="60">
                  <c:v>Bolivia</c:v>
                </c:pt>
                <c:pt idx="61">
                  <c:v>Hungary</c:v>
                </c:pt>
                <c:pt idx="62">
                  <c:v>Paraguay</c:v>
                </c:pt>
                <c:pt idx="63">
                  <c:v>Northern Cyprus</c:v>
                </c:pt>
                <c:pt idx="64">
                  <c:v>Peru</c:v>
                </c:pt>
                <c:pt idx="65">
                  <c:v>Portugal</c:v>
                </c:pt>
                <c:pt idx="66">
                  <c:v>Pakistan</c:v>
                </c:pt>
                <c:pt idx="67">
                  <c:v>Russia</c:v>
                </c:pt>
                <c:pt idx="68">
                  <c:v>Philippines</c:v>
                </c:pt>
                <c:pt idx="69">
                  <c:v>Serbia</c:v>
                </c:pt>
                <c:pt idx="70">
                  <c:v>Moldova</c:v>
                </c:pt>
                <c:pt idx="71">
                  <c:v>Libya</c:v>
                </c:pt>
                <c:pt idx="72">
                  <c:v>Montenegro</c:v>
                </c:pt>
                <c:pt idx="73">
                  <c:v>Tajikistan</c:v>
                </c:pt>
                <c:pt idx="74">
                  <c:v>Croatia</c:v>
                </c:pt>
                <c:pt idx="75">
                  <c:v>Hong Kong</c:v>
                </c:pt>
                <c:pt idx="76">
                  <c:v>Dominican Republic</c:v>
                </c:pt>
                <c:pt idx="77">
                  <c:v>Bosnia and Herzegovina</c:v>
                </c:pt>
                <c:pt idx="78">
                  <c:v>Turkey</c:v>
                </c:pt>
                <c:pt idx="79">
                  <c:v>Malaysia</c:v>
                </c:pt>
                <c:pt idx="80">
                  <c:v>Belarus</c:v>
                </c:pt>
                <c:pt idx="81">
                  <c:v>Greece</c:v>
                </c:pt>
                <c:pt idx="82">
                  <c:v>Mongolia</c:v>
                </c:pt>
                <c:pt idx="83">
                  <c:v>North Macedonia</c:v>
                </c:pt>
                <c:pt idx="84">
                  <c:v>Nigeria</c:v>
                </c:pt>
                <c:pt idx="85">
                  <c:v>Kyrgyzstan</c:v>
                </c:pt>
                <c:pt idx="86">
                  <c:v>Turkmenistan</c:v>
                </c:pt>
                <c:pt idx="87">
                  <c:v>Algeria</c:v>
                </c:pt>
                <c:pt idx="88">
                  <c:v>Morocco</c:v>
                </c:pt>
                <c:pt idx="89">
                  <c:v>Azerbaijan</c:v>
                </c:pt>
                <c:pt idx="90">
                  <c:v>Lebanon</c:v>
                </c:pt>
                <c:pt idx="91">
                  <c:v>Indonesia</c:v>
                </c:pt>
                <c:pt idx="92">
                  <c:v>China</c:v>
                </c:pt>
                <c:pt idx="93">
                  <c:v>Vietnam</c:v>
                </c:pt>
                <c:pt idx="94">
                  <c:v>Bhutan</c:v>
                </c:pt>
                <c:pt idx="95">
                  <c:v>Cameroon</c:v>
                </c:pt>
                <c:pt idx="96">
                  <c:v>Bulgaria</c:v>
                </c:pt>
                <c:pt idx="97">
                  <c:v>Ghana</c:v>
                </c:pt>
                <c:pt idx="98">
                  <c:v>Ivory Coast</c:v>
                </c:pt>
                <c:pt idx="99">
                  <c:v>Nepal</c:v>
                </c:pt>
                <c:pt idx="100">
                  <c:v>Jordan</c:v>
                </c:pt>
                <c:pt idx="101">
                  <c:v>Benin</c:v>
                </c:pt>
                <c:pt idx="102">
                  <c:v>Congo (Brazzaville)</c:v>
                </c:pt>
                <c:pt idx="103">
                  <c:v>Gabon</c:v>
                </c:pt>
                <c:pt idx="104">
                  <c:v>Laos</c:v>
                </c:pt>
                <c:pt idx="105">
                  <c:v>South Africa</c:v>
                </c:pt>
                <c:pt idx="106">
                  <c:v>Albania</c:v>
                </c:pt>
                <c:pt idx="107">
                  <c:v>Venezuela</c:v>
                </c:pt>
                <c:pt idx="108">
                  <c:v>Cambodia</c:v>
                </c:pt>
                <c:pt idx="109">
                  <c:v>Palestinian Territories</c:v>
                </c:pt>
                <c:pt idx="110">
                  <c:v>Senegal</c:v>
                </c:pt>
                <c:pt idx="111">
                  <c:v>Somalia</c:v>
                </c:pt>
                <c:pt idx="112">
                  <c:v>Namibia</c:v>
                </c:pt>
                <c:pt idx="113">
                  <c:v>Niger</c:v>
                </c:pt>
                <c:pt idx="114">
                  <c:v>Burkina Faso</c:v>
                </c:pt>
                <c:pt idx="115">
                  <c:v>Armenia</c:v>
                </c:pt>
                <c:pt idx="116">
                  <c:v>Iran</c:v>
                </c:pt>
                <c:pt idx="117">
                  <c:v>Guinea</c:v>
                </c:pt>
                <c:pt idx="118">
                  <c:v>Georgia</c:v>
                </c:pt>
                <c:pt idx="119">
                  <c:v>Gambia</c:v>
                </c:pt>
                <c:pt idx="120">
                  <c:v>Kenya</c:v>
                </c:pt>
                <c:pt idx="121">
                  <c:v>Mauritania</c:v>
                </c:pt>
                <c:pt idx="122">
                  <c:v>Mozambique</c:v>
                </c:pt>
                <c:pt idx="123">
                  <c:v>Tunisia</c:v>
                </c:pt>
                <c:pt idx="124">
                  <c:v>Bangladesh</c:v>
                </c:pt>
                <c:pt idx="125">
                  <c:v>Iraq</c:v>
                </c:pt>
                <c:pt idx="126">
                  <c:v>Congo (Kinshasa)</c:v>
                </c:pt>
                <c:pt idx="127">
                  <c:v>Mali</c:v>
                </c:pt>
                <c:pt idx="128">
                  <c:v>Sierra Leone</c:v>
                </c:pt>
                <c:pt idx="129">
                  <c:v>Sri Lanka</c:v>
                </c:pt>
                <c:pt idx="130">
                  <c:v>Myanmar</c:v>
                </c:pt>
                <c:pt idx="131">
                  <c:v>Chad</c:v>
                </c:pt>
                <c:pt idx="132">
                  <c:v>Ukraine</c:v>
                </c:pt>
                <c:pt idx="133">
                  <c:v>Ethiopia</c:v>
                </c:pt>
                <c:pt idx="134">
                  <c:v>Swaziland</c:v>
                </c:pt>
                <c:pt idx="135">
                  <c:v>Uganda</c:v>
                </c:pt>
                <c:pt idx="136">
                  <c:v>Egypt</c:v>
                </c:pt>
                <c:pt idx="137">
                  <c:v>Zambia</c:v>
                </c:pt>
                <c:pt idx="138">
                  <c:v>Togo</c:v>
                </c:pt>
                <c:pt idx="139">
                  <c:v>India</c:v>
                </c:pt>
                <c:pt idx="140">
                  <c:v>Liberia</c:v>
                </c:pt>
                <c:pt idx="141">
                  <c:v>Comoros</c:v>
                </c:pt>
                <c:pt idx="142">
                  <c:v>Madagascar</c:v>
                </c:pt>
                <c:pt idx="143">
                  <c:v>Lesotho</c:v>
                </c:pt>
                <c:pt idx="144">
                  <c:v>Burundi</c:v>
                </c:pt>
                <c:pt idx="145">
                  <c:v>Zimbabwe</c:v>
                </c:pt>
                <c:pt idx="146">
                  <c:v>Haiti</c:v>
                </c:pt>
                <c:pt idx="147">
                  <c:v>Botswana</c:v>
                </c:pt>
                <c:pt idx="148">
                  <c:v>Syria</c:v>
                </c:pt>
                <c:pt idx="149">
                  <c:v>Malawi</c:v>
                </c:pt>
                <c:pt idx="150">
                  <c:v>Yemen</c:v>
                </c:pt>
                <c:pt idx="151">
                  <c:v>Rwanda</c:v>
                </c:pt>
                <c:pt idx="152">
                  <c:v>Tanzania</c:v>
                </c:pt>
                <c:pt idx="153">
                  <c:v>Afghanistan</c:v>
                </c:pt>
                <c:pt idx="154">
                  <c:v>Central African Republic</c:v>
                </c:pt>
                <c:pt idx="155">
                  <c:v>South Sudan</c:v>
                </c:pt>
              </c:strCache>
            </c:strRef>
          </c:cat>
          <c:val>
            <c:numRef>
              <c:f>Pivot_country!$B$4:$B$160</c:f>
              <c:numCache>
                <c:formatCode>General</c:formatCode>
                <c:ptCount val="156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  <c:pt idx="10">
                  <c:v>7.2279999999999998</c:v>
                </c:pt>
                <c:pt idx="11">
                  <c:v>7.1669999999999998</c:v>
                </c:pt>
                <c:pt idx="12">
                  <c:v>7.1390000000000002</c:v>
                </c:pt>
                <c:pt idx="13">
                  <c:v>7.09</c:v>
                </c:pt>
                <c:pt idx="14">
                  <c:v>7.0540000000000003</c:v>
                </c:pt>
                <c:pt idx="15">
                  <c:v>7.0209999999999999</c:v>
                </c:pt>
                <c:pt idx="16">
                  <c:v>6.9850000000000003</c:v>
                </c:pt>
                <c:pt idx="17">
                  <c:v>6.923</c:v>
                </c:pt>
                <c:pt idx="18">
                  <c:v>6.8920000000000003</c:v>
                </c:pt>
                <c:pt idx="19">
                  <c:v>6.8520000000000003</c:v>
                </c:pt>
                <c:pt idx="20">
                  <c:v>6.8250000000000002</c:v>
                </c:pt>
                <c:pt idx="21">
                  <c:v>6.726</c:v>
                </c:pt>
                <c:pt idx="22">
                  <c:v>6.5949999999999998</c:v>
                </c:pt>
                <c:pt idx="23">
                  <c:v>6.5919999999999996</c:v>
                </c:pt>
                <c:pt idx="24">
                  <c:v>6.4459999999999997</c:v>
                </c:pt>
                <c:pt idx="25">
                  <c:v>6.444</c:v>
                </c:pt>
                <c:pt idx="26">
                  <c:v>6.4359999999999999</c:v>
                </c:pt>
                <c:pt idx="27">
                  <c:v>6.375</c:v>
                </c:pt>
                <c:pt idx="28">
                  <c:v>6.3739999999999997</c:v>
                </c:pt>
                <c:pt idx="29">
                  <c:v>6.3540000000000001</c:v>
                </c:pt>
                <c:pt idx="30">
                  <c:v>6.3209999999999997</c:v>
                </c:pt>
                <c:pt idx="31">
                  <c:v>6.3</c:v>
                </c:pt>
                <c:pt idx="32">
                  <c:v>6.2930000000000001</c:v>
                </c:pt>
                <c:pt idx="33">
                  <c:v>6.2619999999999996</c:v>
                </c:pt>
                <c:pt idx="34">
                  <c:v>6.2530000000000001</c:v>
                </c:pt>
                <c:pt idx="35">
                  <c:v>6.2229999999999999</c:v>
                </c:pt>
                <c:pt idx="36">
                  <c:v>6.1989999999999998</c:v>
                </c:pt>
                <c:pt idx="37">
                  <c:v>6.1980000000000004</c:v>
                </c:pt>
                <c:pt idx="38">
                  <c:v>6.1920000000000002</c:v>
                </c:pt>
                <c:pt idx="39">
                  <c:v>6.1820000000000004</c:v>
                </c:pt>
                <c:pt idx="40">
                  <c:v>6.1740000000000004</c:v>
                </c:pt>
                <c:pt idx="41">
                  <c:v>6.149</c:v>
                </c:pt>
                <c:pt idx="42">
                  <c:v>6.125</c:v>
                </c:pt>
                <c:pt idx="43">
                  <c:v>6.1180000000000003</c:v>
                </c:pt>
                <c:pt idx="44">
                  <c:v>6.1050000000000004</c:v>
                </c:pt>
                <c:pt idx="45">
                  <c:v>6.1</c:v>
                </c:pt>
                <c:pt idx="46">
                  <c:v>6.0860000000000003</c:v>
                </c:pt>
                <c:pt idx="47">
                  <c:v>6.07</c:v>
                </c:pt>
                <c:pt idx="48">
                  <c:v>6.0460000000000003</c:v>
                </c:pt>
                <c:pt idx="49">
                  <c:v>6.0279999999999996</c:v>
                </c:pt>
                <c:pt idx="50">
                  <c:v>6.0209999999999999</c:v>
                </c:pt>
                <c:pt idx="51">
                  <c:v>6.008</c:v>
                </c:pt>
                <c:pt idx="52">
                  <c:v>5.94</c:v>
                </c:pt>
                <c:pt idx="53">
                  <c:v>5.8949999999999996</c:v>
                </c:pt>
                <c:pt idx="54">
                  <c:v>5.8929999999999998</c:v>
                </c:pt>
                <c:pt idx="55">
                  <c:v>5.89</c:v>
                </c:pt>
                <c:pt idx="56">
                  <c:v>5.8879999999999999</c:v>
                </c:pt>
                <c:pt idx="57">
                  <c:v>5.8860000000000001</c:v>
                </c:pt>
                <c:pt idx="58">
                  <c:v>5.86</c:v>
                </c:pt>
                <c:pt idx="59">
                  <c:v>5.8090000000000002</c:v>
                </c:pt>
                <c:pt idx="60">
                  <c:v>5.7789999999999999</c:v>
                </c:pt>
                <c:pt idx="61">
                  <c:v>5.758</c:v>
                </c:pt>
                <c:pt idx="62">
                  <c:v>5.7430000000000003</c:v>
                </c:pt>
                <c:pt idx="63">
                  <c:v>5.718</c:v>
                </c:pt>
                <c:pt idx="64">
                  <c:v>5.6970000000000001</c:v>
                </c:pt>
                <c:pt idx="65">
                  <c:v>5.6929999999999996</c:v>
                </c:pt>
                <c:pt idx="66">
                  <c:v>5.6529999999999996</c:v>
                </c:pt>
                <c:pt idx="67">
                  <c:v>5.6479999999999997</c:v>
                </c:pt>
                <c:pt idx="68">
                  <c:v>5.6310000000000002</c:v>
                </c:pt>
                <c:pt idx="69">
                  <c:v>5.6029999999999998</c:v>
                </c:pt>
                <c:pt idx="70">
                  <c:v>5.5289999999999999</c:v>
                </c:pt>
                <c:pt idx="71">
                  <c:v>5.5250000000000004</c:v>
                </c:pt>
                <c:pt idx="72">
                  <c:v>5.5229999999999997</c:v>
                </c:pt>
                <c:pt idx="73">
                  <c:v>5.4669999999999996</c:v>
                </c:pt>
                <c:pt idx="74">
                  <c:v>5.4320000000000004</c:v>
                </c:pt>
                <c:pt idx="75">
                  <c:v>5.43</c:v>
                </c:pt>
                <c:pt idx="76">
                  <c:v>5.4249999999999998</c:v>
                </c:pt>
                <c:pt idx="77">
                  <c:v>5.3860000000000001</c:v>
                </c:pt>
                <c:pt idx="78">
                  <c:v>5.3730000000000002</c:v>
                </c:pt>
                <c:pt idx="79">
                  <c:v>5.3390000000000004</c:v>
                </c:pt>
                <c:pt idx="80">
                  <c:v>5.3230000000000004</c:v>
                </c:pt>
                <c:pt idx="81">
                  <c:v>5.2869999999999999</c:v>
                </c:pt>
                <c:pt idx="82">
                  <c:v>5.2850000000000001</c:v>
                </c:pt>
                <c:pt idx="83">
                  <c:v>5.274</c:v>
                </c:pt>
                <c:pt idx="84">
                  <c:v>5.2649999999999997</c:v>
                </c:pt>
                <c:pt idx="85">
                  <c:v>5.2610000000000001</c:v>
                </c:pt>
                <c:pt idx="86">
                  <c:v>5.2469999999999999</c:v>
                </c:pt>
                <c:pt idx="87">
                  <c:v>5.2110000000000003</c:v>
                </c:pt>
                <c:pt idx="88">
                  <c:v>5.2080000000000002</c:v>
                </c:pt>
                <c:pt idx="89">
                  <c:v>5.2080000000000002</c:v>
                </c:pt>
                <c:pt idx="90">
                  <c:v>5.1970000000000001</c:v>
                </c:pt>
                <c:pt idx="91">
                  <c:v>5.1920000000000002</c:v>
                </c:pt>
                <c:pt idx="92">
                  <c:v>5.1909999999999998</c:v>
                </c:pt>
                <c:pt idx="93">
                  <c:v>5.1749999999999998</c:v>
                </c:pt>
                <c:pt idx="94">
                  <c:v>5.0819999999999999</c:v>
                </c:pt>
                <c:pt idx="95">
                  <c:v>5.0439999999999996</c:v>
                </c:pt>
                <c:pt idx="96">
                  <c:v>5.0110000000000001</c:v>
                </c:pt>
                <c:pt idx="97">
                  <c:v>4.9960000000000004</c:v>
                </c:pt>
                <c:pt idx="98">
                  <c:v>4.944</c:v>
                </c:pt>
                <c:pt idx="99">
                  <c:v>4.9130000000000003</c:v>
                </c:pt>
                <c:pt idx="100">
                  <c:v>4.9059999999999997</c:v>
                </c:pt>
                <c:pt idx="101">
                  <c:v>4.883</c:v>
                </c:pt>
                <c:pt idx="102">
                  <c:v>4.8120000000000003</c:v>
                </c:pt>
                <c:pt idx="103">
                  <c:v>4.7990000000000004</c:v>
                </c:pt>
                <c:pt idx="104">
                  <c:v>4.7960000000000003</c:v>
                </c:pt>
                <c:pt idx="105">
                  <c:v>4.7220000000000004</c:v>
                </c:pt>
                <c:pt idx="106">
                  <c:v>4.7190000000000003</c:v>
                </c:pt>
                <c:pt idx="107">
                  <c:v>4.7069999999999999</c:v>
                </c:pt>
                <c:pt idx="108">
                  <c:v>4.7</c:v>
                </c:pt>
                <c:pt idx="109">
                  <c:v>4.6959999999999997</c:v>
                </c:pt>
                <c:pt idx="110">
                  <c:v>4.681</c:v>
                </c:pt>
                <c:pt idx="111">
                  <c:v>4.6680000000000001</c:v>
                </c:pt>
                <c:pt idx="112">
                  <c:v>4.6390000000000002</c:v>
                </c:pt>
                <c:pt idx="113">
                  <c:v>4.6280000000000001</c:v>
                </c:pt>
                <c:pt idx="114">
                  <c:v>4.5869999999999997</c:v>
                </c:pt>
                <c:pt idx="115">
                  <c:v>4.5590000000000002</c:v>
                </c:pt>
                <c:pt idx="116">
                  <c:v>4.548</c:v>
                </c:pt>
                <c:pt idx="117">
                  <c:v>4.5339999999999998</c:v>
                </c:pt>
                <c:pt idx="118">
                  <c:v>4.5190000000000001</c:v>
                </c:pt>
                <c:pt idx="119">
                  <c:v>4.516</c:v>
                </c:pt>
                <c:pt idx="120">
                  <c:v>4.5090000000000003</c:v>
                </c:pt>
                <c:pt idx="121">
                  <c:v>4.49</c:v>
                </c:pt>
                <c:pt idx="122">
                  <c:v>4.4660000000000002</c:v>
                </c:pt>
                <c:pt idx="123">
                  <c:v>4.4610000000000003</c:v>
                </c:pt>
                <c:pt idx="124">
                  <c:v>4.4560000000000004</c:v>
                </c:pt>
                <c:pt idx="125">
                  <c:v>4.4370000000000003</c:v>
                </c:pt>
                <c:pt idx="126">
                  <c:v>4.4180000000000001</c:v>
                </c:pt>
                <c:pt idx="127">
                  <c:v>4.3899999999999997</c:v>
                </c:pt>
                <c:pt idx="128">
                  <c:v>4.3739999999999997</c:v>
                </c:pt>
                <c:pt idx="129">
                  <c:v>4.3659999999999997</c:v>
                </c:pt>
                <c:pt idx="130">
                  <c:v>4.3600000000000003</c:v>
                </c:pt>
                <c:pt idx="131">
                  <c:v>4.3499999999999996</c:v>
                </c:pt>
                <c:pt idx="132">
                  <c:v>4.3319999999999999</c:v>
                </c:pt>
                <c:pt idx="133">
                  <c:v>4.2859999999999996</c:v>
                </c:pt>
                <c:pt idx="134">
                  <c:v>4.2119999999999997</c:v>
                </c:pt>
                <c:pt idx="135">
                  <c:v>4.1890000000000001</c:v>
                </c:pt>
                <c:pt idx="136">
                  <c:v>4.1660000000000004</c:v>
                </c:pt>
                <c:pt idx="137">
                  <c:v>4.1070000000000002</c:v>
                </c:pt>
                <c:pt idx="138">
                  <c:v>4.085</c:v>
                </c:pt>
                <c:pt idx="139">
                  <c:v>4.0149999999999997</c:v>
                </c:pt>
                <c:pt idx="140">
                  <c:v>3.9750000000000001</c:v>
                </c:pt>
                <c:pt idx="141">
                  <c:v>3.9729999999999999</c:v>
                </c:pt>
                <c:pt idx="142">
                  <c:v>3.9329999999999998</c:v>
                </c:pt>
                <c:pt idx="143">
                  <c:v>3.802</c:v>
                </c:pt>
                <c:pt idx="144">
                  <c:v>3.7749999999999999</c:v>
                </c:pt>
                <c:pt idx="145">
                  <c:v>3.6629999999999998</c:v>
                </c:pt>
                <c:pt idx="146">
                  <c:v>3.597</c:v>
                </c:pt>
                <c:pt idx="147">
                  <c:v>3.488</c:v>
                </c:pt>
                <c:pt idx="148">
                  <c:v>3.4620000000000002</c:v>
                </c:pt>
                <c:pt idx="149">
                  <c:v>3.41</c:v>
                </c:pt>
                <c:pt idx="150">
                  <c:v>3.38</c:v>
                </c:pt>
                <c:pt idx="151">
                  <c:v>3.3340000000000001</c:v>
                </c:pt>
                <c:pt idx="152">
                  <c:v>3.2309999999999999</c:v>
                </c:pt>
                <c:pt idx="153">
                  <c:v>3.2029999999999998</c:v>
                </c:pt>
                <c:pt idx="154">
                  <c:v>3.0830000000000002</c:v>
                </c:pt>
                <c:pt idx="155">
                  <c:v>2.8530000000000002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0-4FC8-8C4E-4743E1B44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401024"/>
        <c:axId val="378405184"/>
      </c:barChart>
      <c:catAx>
        <c:axId val="3784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05184"/>
        <c:crosses val="autoZero"/>
        <c:auto val="1"/>
        <c:lblAlgn val="ctr"/>
        <c:lblOffset val="100"/>
        <c:noMultiLvlLbl val="0"/>
      </c:catAx>
      <c:valAx>
        <c:axId val="3784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0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[Happiness_2019_Raw.xlsx]Pivot_country!PivotTable1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2264349797628218E-2"/>
          <c:y val="6.7330196654469487E-2"/>
          <c:w val="0.94868235764638098"/>
          <c:h val="0.68607024525484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Pivot_country!$A$4:$A$160</c:f>
              <c:strCache>
                <c:ptCount val="156"/>
                <c:pt idx="0">
                  <c:v>Finland</c:v>
                </c:pt>
                <c:pt idx="1">
                  <c:v>Denmark</c:v>
                </c:pt>
                <c:pt idx="2">
                  <c:v>Norway</c:v>
                </c:pt>
                <c:pt idx="3">
                  <c:v>Iceland</c:v>
                </c:pt>
                <c:pt idx="4">
                  <c:v>Netherlands</c:v>
                </c:pt>
                <c:pt idx="5">
                  <c:v>Switzerland</c:v>
                </c:pt>
                <c:pt idx="6">
                  <c:v>Sweden</c:v>
                </c:pt>
                <c:pt idx="7">
                  <c:v>New Zealand</c:v>
                </c:pt>
                <c:pt idx="8">
                  <c:v>Canada</c:v>
                </c:pt>
                <c:pt idx="9">
                  <c:v>Austria</c:v>
                </c:pt>
                <c:pt idx="10">
                  <c:v>Australia</c:v>
                </c:pt>
                <c:pt idx="11">
                  <c:v>Costa Rica</c:v>
                </c:pt>
                <c:pt idx="12">
                  <c:v>Israel</c:v>
                </c:pt>
                <c:pt idx="13">
                  <c:v>Luxembourg</c:v>
                </c:pt>
                <c:pt idx="14">
                  <c:v>United Kingdom</c:v>
                </c:pt>
                <c:pt idx="15">
                  <c:v>Ireland</c:v>
                </c:pt>
                <c:pt idx="16">
                  <c:v>Germany</c:v>
                </c:pt>
                <c:pt idx="17">
                  <c:v>Belgium</c:v>
                </c:pt>
                <c:pt idx="18">
                  <c:v>United States</c:v>
                </c:pt>
                <c:pt idx="19">
                  <c:v>Czech Republic</c:v>
                </c:pt>
                <c:pt idx="20">
                  <c:v>United Arab Emirates</c:v>
                </c:pt>
                <c:pt idx="21">
                  <c:v>Malta</c:v>
                </c:pt>
                <c:pt idx="22">
                  <c:v>Mexico</c:v>
                </c:pt>
                <c:pt idx="23">
                  <c:v>France</c:v>
                </c:pt>
                <c:pt idx="24">
                  <c:v>Taiwan</c:v>
                </c:pt>
                <c:pt idx="25">
                  <c:v>Chile</c:v>
                </c:pt>
                <c:pt idx="26">
                  <c:v>Guatemala</c:v>
                </c:pt>
                <c:pt idx="27">
                  <c:v>Saudi Arabia</c:v>
                </c:pt>
                <c:pt idx="28">
                  <c:v>Qatar</c:v>
                </c:pt>
                <c:pt idx="29">
                  <c:v>Spain</c:v>
                </c:pt>
                <c:pt idx="30">
                  <c:v>Panama</c:v>
                </c:pt>
                <c:pt idx="31">
                  <c:v>Brazil</c:v>
                </c:pt>
                <c:pt idx="32">
                  <c:v>Uruguay</c:v>
                </c:pt>
                <c:pt idx="33">
                  <c:v>Singapore</c:v>
                </c:pt>
                <c:pt idx="34">
                  <c:v>El Salvador</c:v>
                </c:pt>
                <c:pt idx="35">
                  <c:v>Italy</c:v>
                </c:pt>
                <c:pt idx="36">
                  <c:v>Bahrain</c:v>
                </c:pt>
                <c:pt idx="37">
                  <c:v>Slovakia</c:v>
                </c:pt>
                <c:pt idx="38">
                  <c:v>Trinidad &amp; Tobago</c:v>
                </c:pt>
                <c:pt idx="39">
                  <c:v>Poland</c:v>
                </c:pt>
                <c:pt idx="40">
                  <c:v>Uzbekistan</c:v>
                </c:pt>
                <c:pt idx="41">
                  <c:v>Lithuania</c:v>
                </c:pt>
                <c:pt idx="42">
                  <c:v>Colombia</c:v>
                </c:pt>
                <c:pt idx="43">
                  <c:v>Slovenia</c:v>
                </c:pt>
                <c:pt idx="44">
                  <c:v>Nicaragua</c:v>
                </c:pt>
                <c:pt idx="45">
                  <c:v>Kosovo</c:v>
                </c:pt>
                <c:pt idx="46">
                  <c:v>Argentina</c:v>
                </c:pt>
                <c:pt idx="47">
                  <c:v>Romania</c:v>
                </c:pt>
                <c:pt idx="48">
                  <c:v>Cyprus</c:v>
                </c:pt>
                <c:pt idx="49">
                  <c:v>Ecuador</c:v>
                </c:pt>
                <c:pt idx="50">
                  <c:v>Kuwait</c:v>
                </c:pt>
                <c:pt idx="51">
                  <c:v>Thailand</c:v>
                </c:pt>
                <c:pt idx="52">
                  <c:v>Latvia</c:v>
                </c:pt>
                <c:pt idx="53">
                  <c:v>South Korea</c:v>
                </c:pt>
                <c:pt idx="54">
                  <c:v>Estonia</c:v>
                </c:pt>
                <c:pt idx="55">
                  <c:v>Jamaica</c:v>
                </c:pt>
                <c:pt idx="56">
                  <c:v>Mauritius</c:v>
                </c:pt>
                <c:pt idx="57">
                  <c:v>Japan</c:v>
                </c:pt>
                <c:pt idx="58">
                  <c:v>Honduras</c:v>
                </c:pt>
                <c:pt idx="59">
                  <c:v>Kazakhstan</c:v>
                </c:pt>
                <c:pt idx="60">
                  <c:v>Bolivia</c:v>
                </c:pt>
                <c:pt idx="61">
                  <c:v>Hungary</c:v>
                </c:pt>
                <c:pt idx="62">
                  <c:v>Paraguay</c:v>
                </c:pt>
                <c:pt idx="63">
                  <c:v>Northern Cyprus</c:v>
                </c:pt>
                <c:pt idx="64">
                  <c:v>Peru</c:v>
                </c:pt>
                <c:pt idx="65">
                  <c:v>Portugal</c:v>
                </c:pt>
                <c:pt idx="66">
                  <c:v>Pakistan</c:v>
                </c:pt>
                <c:pt idx="67">
                  <c:v>Russia</c:v>
                </c:pt>
                <c:pt idx="68">
                  <c:v>Philippines</c:v>
                </c:pt>
                <c:pt idx="69">
                  <c:v>Serbia</c:v>
                </c:pt>
                <c:pt idx="70">
                  <c:v>Moldova</c:v>
                </c:pt>
                <c:pt idx="71">
                  <c:v>Libya</c:v>
                </c:pt>
                <c:pt idx="72">
                  <c:v>Montenegro</c:v>
                </c:pt>
                <c:pt idx="73">
                  <c:v>Tajikistan</c:v>
                </c:pt>
                <c:pt idx="74">
                  <c:v>Croatia</c:v>
                </c:pt>
                <c:pt idx="75">
                  <c:v>Hong Kong</c:v>
                </c:pt>
                <c:pt idx="76">
                  <c:v>Dominican Republic</c:v>
                </c:pt>
                <c:pt idx="77">
                  <c:v>Bosnia and Herzegovina</c:v>
                </c:pt>
                <c:pt idx="78">
                  <c:v>Turkey</c:v>
                </c:pt>
                <c:pt idx="79">
                  <c:v>Malaysia</c:v>
                </c:pt>
                <c:pt idx="80">
                  <c:v>Belarus</c:v>
                </c:pt>
                <c:pt idx="81">
                  <c:v>Greece</c:v>
                </c:pt>
                <c:pt idx="82">
                  <c:v>Mongolia</c:v>
                </c:pt>
                <c:pt idx="83">
                  <c:v>North Macedonia</c:v>
                </c:pt>
                <c:pt idx="84">
                  <c:v>Nigeria</c:v>
                </c:pt>
                <c:pt idx="85">
                  <c:v>Kyrgyzstan</c:v>
                </c:pt>
                <c:pt idx="86">
                  <c:v>Turkmenistan</c:v>
                </c:pt>
                <c:pt idx="87">
                  <c:v>Algeria</c:v>
                </c:pt>
                <c:pt idx="88">
                  <c:v>Morocco</c:v>
                </c:pt>
                <c:pt idx="89">
                  <c:v>Azerbaijan</c:v>
                </c:pt>
                <c:pt idx="90">
                  <c:v>Lebanon</c:v>
                </c:pt>
                <c:pt idx="91">
                  <c:v>Indonesia</c:v>
                </c:pt>
                <c:pt idx="92">
                  <c:v>China</c:v>
                </c:pt>
                <c:pt idx="93">
                  <c:v>Vietnam</c:v>
                </c:pt>
                <c:pt idx="94">
                  <c:v>Bhutan</c:v>
                </c:pt>
                <c:pt idx="95">
                  <c:v>Cameroon</c:v>
                </c:pt>
                <c:pt idx="96">
                  <c:v>Bulgaria</c:v>
                </c:pt>
                <c:pt idx="97">
                  <c:v>Ghana</c:v>
                </c:pt>
                <c:pt idx="98">
                  <c:v>Ivory Coast</c:v>
                </c:pt>
                <c:pt idx="99">
                  <c:v>Nepal</c:v>
                </c:pt>
                <c:pt idx="100">
                  <c:v>Jordan</c:v>
                </c:pt>
                <c:pt idx="101">
                  <c:v>Benin</c:v>
                </c:pt>
                <c:pt idx="102">
                  <c:v>Congo (Brazzaville)</c:v>
                </c:pt>
                <c:pt idx="103">
                  <c:v>Gabon</c:v>
                </c:pt>
                <c:pt idx="104">
                  <c:v>Laos</c:v>
                </c:pt>
                <c:pt idx="105">
                  <c:v>South Africa</c:v>
                </c:pt>
                <c:pt idx="106">
                  <c:v>Albania</c:v>
                </c:pt>
                <c:pt idx="107">
                  <c:v>Venezuela</c:v>
                </c:pt>
                <c:pt idx="108">
                  <c:v>Cambodia</c:v>
                </c:pt>
                <c:pt idx="109">
                  <c:v>Palestinian Territories</c:v>
                </c:pt>
                <c:pt idx="110">
                  <c:v>Senegal</c:v>
                </c:pt>
                <c:pt idx="111">
                  <c:v>Somalia</c:v>
                </c:pt>
                <c:pt idx="112">
                  <c:v>Namibia</c:v>
                </c:pt>
                <c:pt idx="113">
                  <c:v>Niger</c:v>
                </c:pt>
                <c:pt idx="114">
                  <c:v>Burkina Faso</c:v>
                </c:pt>
                <c:pt idx="115">
                  <c:v>Armenia</c:v>
                </c:pt>
                <c:pt idx="116">
                  <c:v>Iran</c:v>
                </c:pt>
                <c:pt idx="117">
                  <c:v>Guinea</c:v>
                </c:pt>
                <c:pt idx="118">
                  <c:v>Georgia</c:v>
                </c:pt>
                <c:pt idx="119">
                  <c:v>Gambia</c:v>
                </c:pt>
                <c:pt idx="120">
                  <c:v>Kenya</c:v>
                </c:pt>
                <c:pt idx="121">
                  <c:v>Mauritania</c:v>
                </c:pt>
                <c:pt idx="122">
                  <c:v>Mozambique</c:v>
                </c:pt>
                <c:pt idx="123">
                  <c:v>Tunisia</c:v>
                </c:pt>
                <c:pt idx="124">
                  <c:v>Bangladesh</c:v>
                </c:pt>
                <c:pt idx="125">
                  <c:v>Iraq</c:v>
                </c:pt>
                <c:pt idx="126">
                  <c:v>Congo (Kinshasa)</c:v>
                </c:pt>
                <c:pt idx="127">
                  <c:v>Mali</c:v>
                </c:pt>
                <c:pt idx="128">
                  <c:v>Sierra Leone</c:v>
                </c:pt>
                <c:pt idx="129">
                  <c:v>Sri Lanka</c:v>
                </c:pt>
                <c:pt idx="130">
                  <c:v>Myanmar</c:v>
                </c:pt>
                <c:pt idx="131">
                  <c:v>Chad</c:v>
                </c:pt>
                <c:pt idx="132">
                  <c:v>Ukraine</c:v>
                </c:pt>
                <c:pt idx="133">
                  <c:v>Ethiopia</c:v>
                </c:pt>
                <c:pt idx="134">
                  <c:v>Swaziland</c:v>
                </c:pt>
                <c:pt idx="135">
                  <c:v>Uganda</c:v>
                </c:pt>
                <c:pt idx="136">
                  <c:v>Egypt</c:v>
                </c:pt>
                <c:pt idx="137">
                  <c:v>Zambia</c:v>
                </c:pt>
                <c:pt idx="138">
                  <c:v>Togo</c:v>
                </c:pt>
                <c:pt idx="139">
                  <c:v>India</c:v>
                </c:pt>
                <c:pt idx="140">
                  <c:v>Liberia</c:v>
                </c:pt>
                <c:pt idx="141">
                  <c:v>Comoros</c:v>
                </c:pt>
                <c:pt idx="142">
                  <c:v>Madagascar</c:v>
                </c:pt>
                <c:pt idx="143">
                  <c:v>Lesotho</c:v>
                </c:pt>
                <c:pt idx="144">
                  <c:v>Burundi</c:v>
                </c:pt>
                <c:pt idx="145">
                  <c:v>Zimbabwe</c:v>
                </c:pt>
                <c:pt idx="146">
                  <c:v>Haiti</c:v>
                </c:pt>
                <c:pt idx="147">
                  <c:v>Botswana</c:v>
                </c:pt>
                <c:pt idx="148">
                  <c:v>Syria</c:v>
                </c:pt>
                <c:pt idx="149">
                  <c:v>Malawi</c:v>
                </c:pt>
                <c:pt idx="150">
                  <c:v>Yemen</c:v>
                </c:pt>
                <c:pt idx="151">
                  <c:v>Rwanda</c:v>
                </c:pt>
                <c:pt idx="152">
                  <c:v>Tanzania</c:v>
                </c:pt>
                <c:pt idx="153">
                  <c:v>Afghanistan</c:v>
                </c:pt>
                <c:pt idx="154">
                  <c:v>Central African Republic</c:v>
                </c:pt>
                <c:pt idx="155">
                  <c:v>South Sudan</c:v>
                </c:pt>
              </c:strCache>
            </c:strRef>
          </c:cat>
          <c:val>
            <c:numRef>
              <c:f>Pivot_country!$B$4:$B$160</c:f>
              <c:numCache>
                <c:formatCode>General</c:formatCode>
                <c:ptCount val="156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  <c:pt idx="10">
                  <c:v>7.2279999999999998</c:v>
                </c:pt>
                <c:pt idx="11">
                  <c:v>7.1669999999999998</c:v>
                </c:pt>
                <c:pt idx="12">
                  <c:v>7.1390000000000002</c:v>
                </c:pt>
                <c:pt idx="13">
                  <c:v>7.09</c:v>
                </c:pt>
                <c:pt idx="14">
                  <c:v>7.0540000000000003</c:v>
                </c:pt>
                <c:pt idx="15">
                  <c:v>7.0209999999999999</c:v>
                </c:pt>
                <c:pt idx="16">
                  <c:v>6.9850000000000003</c:v>
                </c:pt>
                <c:pt idx="17">
                  <c:v>6.923</c:v>
                </c:pt>
                <c:pt idx="18">
                  <c:v>6.8920000000000003</c:v>
                </c:pt>
                <c:pt idx="19">
                  <c:v>6.8520000000000003</c:v>
                </c:pt>
                <c:pt idx="20">
                  <c:v>6.8250000000000002</c:v>
                </c:pt>
                <c:pt idx="21">
                  <c:v>6.726</c:v>
                </c:pt>
                <c:pt idx="22">
                  <c:v>6.5949999999999998</c:v>
                </c:pt>
                <c:pt idx="23">
                  <c:v>6.5919999999999996</c:v>
                </c:pt>
                <c:pt idx="24">
                  <c:v>6.4459999999999997</c:v>
                </c:pt>
                <c:pt idx="25">
                  <c:v>6.444</c:v>
                </c:pt>
                <c:pt idx="26">
                  <c:v>6.4359999999999999</c:v>
                </c:pt>
                <c:pt idx="27">
                  <c:v>6.375</c:v>
                </c:pt>
                <c:pt idx="28">
                  <c:v>6.3739999999999997</c:v>
                </c:pt>
                <c:pt idx="29">
                  <c:v>6.3540000000000001</c:v>
                </c:pt>
                <c:pt idx="30">
                  <c:v>6.3209999999999997</c:v>
                </c:pt>
                <c:pt idx="31">
                  <c:v>6.3</c:v>
                </c:pt>
                <c:pt idx="32">
                  <c:v>6.2930000000000001</c:v>
                </c:pt>
                <c:pt idx="33">
                  <c:v>6.2619999999999996</c:v>
                </c:pt>
                <c:pt idx="34">
                  <c:v>6.2530000000000001</c:v>
                </c:pt>
                <c:pt idx="35">
                  <c:v>6.2229999999999999</c:v>
                </c:pt>
                <c:pt idx="36">
                  <c:v>6.1989999999999998</c:v>
                </c:pt>
                <c:pt idx="37">
                  <c:v>6.1980000000000004</c:v>
                </c:pt>
                <c:pt idx="38">
                  <c:v>6.1920000000000002</c:v>
                </c:pt>
                <c:pt idx="39">
                  <c:v>6.1820000000000004</c:v>
                </c:pt>
                <c:pt idx="40">
                  <c:v>6.1740000000000004</c:v>
                </c:pt>
                <c:pt idx="41">
                  <c:v>6.149</c:v>
                </c:pt>
                <c:pt idx="42">
                  <c:v>6.125</c:v>
                </c:pt>
                <c:pt idx="43">
                  <c:v>6.1180000000000003</c:v>
                </c:pt>
                <c:pt idx="44">
                  <c:v>6.1050000000000004</c:v>
                </c:pt>
                <c:pt idx="45">
                  <c:v>6.1</c:v>
                </c:pt>
                <c:pt idx="46">
                  <c:v>6.0860000000000003</c:v>
                </c:pt>
                <c:pt idx="47">
                  <c:v>6.07</c:v>
                </c:pt>
                <c:pt idx="48">
                  <c:v>6.0460000000000003</c:v>
                </c:pt>
                <c:pt idx="49">
                  <c:v>6.0279999999999996</c:v>
                </c:pt>
                <c:pt idx="50">
                  <c:v>6.0209999999999999</c:v>
                </c:pt>
                <c:pt idx="51">
                  <c:v>6.008</c:v>
                </c:pt>
                <c:pt idx="52">
                  <c:v>5.94</c:v>
                </c:pt>
                <c:pt idx="53">
                  <c:v>5.8949999999999996</c:v>
                </c:pt>
                <c:pt idx="54">
                  <c:v>5.8929999999999998</c:v>
                </c:pt>
                <c:pt idx="55">
                  <c:v>5.89</c:v>
                </c:pt>
                <c:pt idx="56">
                  <c:v>5.8879999999999999</c:v>
                </c:pt>
                <c:pt idx="57">
                  <c:v>5.8860000000000001</c:v>
                </c:pt>
                <c:pt idx="58">
                  <c:v>5.86</c:v>
                </c:pt>
                <c:pt idx="59">
                  <c:v>5.8090000000000002</c:v>
                </c:pt>
                <c:pt idx="60">
                  <c:v>5.7789999999999999</c:v>
                </c:pt>
                <c:pt idx="61">
                  <c:v>5.758</c:v>
                </c:pt>
                <c:pt idx="62">
                  <c:v>5.7430000000000003</c:v>
                </c:pt>
                <c:pt idx="63">
                  <c:v>5.718</c:v>
                </c:pt>
                <c:pt idx="64">
                  <c:v>5.6970000000000001</c:v>
                </c:pt>
                <c:pt idx="65">
                  <c:v>5.6929999999999996</c:v>
                </c:pt>
                <c:pt idx="66">
                  <c:v>5.6529999999999996</c:v>
                </c:pt>
                <c:pt idx="67">
                  <c:v>5.6479999999999997</c:v>
                </c:pt>
                <c:pt idx="68">
                  <c:v>5.6310000000000002</c:v>
                </c:pt>
                <c:pt idx="69">
                  <c:v>5.6029999999999998</c:v>
                </c:pt>
                <c:pt idx="70">
                  <c:v>5.5289999999999999</c:v>
                </c:pt>
                <c:pt idx="71">
                  <c:v>5.5250000000000004</c:v>
                </c:pt>
                <c:pt idx="72">
                  <c:v>5.5229999999999997</c:v>
                </c:pt>
                <c:pt idx="73">
                  <c:v>5.4669999999999996</c:v>
                </c:pt>
                <c:pt idx="74">
                  <c:v>5.4320000000000004</c:v>
                </c:pt>
                <c:pt idx="75">
                  <c:v>5.43</c:v>
                </c:pt>
                <c:pt idx="76">
                  <c:v>5.4249999999999998</c:v>
                </c:pt>
                <c:pt idx="77">
                  <c:v>5.3860000000000001</c:v>
                </c:pt>
                <c:pt idx="78">
                  <c:v>5.3730000000000002</c:v>
                </c:pt>
                <c:pt idx="79">
                  <c:v>5.3390000000000004</c:v>
                </c:pt>
                <c:pt idx="80">
                  <c:v>5.3230000000000004</c:v>
                </c:pt>
                <c:pt idx="81">
                  <c:v>5.2869999999999999</c:v>
                </c:pt>
                <c:pt idx="82">
                  <c:v>5.2850000000000001</c:v>
                </c:pt>
                <c:pt idx="83">
                  <c:v>5.274</c:v>
                </c:pt>
                <c:pt idx="84">
                  <c:v>5.2649999999999997</c:v>
                </c:pt>
                <c:pt idx="85">
                  <c:v>5.2610000000000001</c:v>
                </c:pt>
                <c:pt idx="86">
                  <c:v>5.2469999999999999</c:v>
                </c:pt>
                <c:pt idx="87">
                  <c:v>5.2110000000000003</c:v>
                </c:pt>
                <c:pt idx="88">
                  <c:v>5.2080000000000002</c:v>
                </c:pt>
                <c:pt idx="89">
                  <c:v>5.2080000000000002</c:v>
                </c:pt>
                <c:pt idx="90">
                  <c:v>5.1970000000000001</c:v>
                </c:pt>
                <c:pt idx="91">
                  <c:v>5.1920000000000002</c:v>
                </c:pt>
                <c:pt idx="92">
                  <c:v>5.1909999999999998</c:v>
                </c:pt>
                <c:pt idx="93">
                  <c:v>5.1749999999999998</c:v>
                </c:pt>
                <c:pt idx="94">
                  <c:v>5.0819999999999999</c:v>
                </c:pt>
                <c:pt idx="95">
                  <c:v>5.0439999999999996</c:v>
                </c:pt>
                <c:pt idx="96">
                  <c:v>5.0110000000000001</c:v>
                </c:pt>
                <c:pt idx="97">
                  <c:v>4.9960000000000004</c:v>
                </c:pt>
                <c:pt idx="98">
                  <c:v>4.944</c:v>
                </c:pt>
                <c:pt idx="99">
                  <c:v>4.9130000000000003</c:v>
                </c:pt>
                <c:pt idx="100">
                  <c:v>4.9059999999999997</c:v>
                </c:pt>
                <c:pt idx="101">
                  <c:v>4.883</c:v>
                </c:pt>
                <c:pt idx="102">
                  <c:v>4.8120000000000003</c:v>
                </c:pt>
                <c:pt idx="103">
                  <c:v>4.7990000000000004</c:v>
                </c:pt>
                <c:pt idx="104">
                  <c:v>4.7960000000000003</c:v>
                </c:pt>
                <c:pt idx="105">
                  <c:v>4.7220000000000004</c:v>
                </c:pt>
                <c:pt idx="106">
                  <c:v>4.7190000000000003</c:v>
                </c:pt>
                <c:pt idx="107">
                  <c:v>4.7069999999999999</c:v>
                </c:pt>
                <c:pt idx="108">
                  <c:v>4.7</c:v>
                </c:pt>
                <c:pt idx="109">
                  <c:v>4.6959999999999997</c:v>
                </c:pt>
                <c:pt idx="110">
                  <c:v>4.681</c:v>
                </c:pt>
                <c:pt idx="111">
                  <c:v>4.6680000000000001</c:v>
                </c:pt>
                <c:pt idx="112">
                  <c:v>4.6390000000000002</c:v>
                </c:pt>
                <c:pt idx="113">
                  <c:v>4.6280000000000001</c:v>
                </c:pt>
                <c:pt idx="114">
                  <c:v>4.5869999999999997</c:v>
                </c:pt>
                <c:pt idx="115">
                  <c:v>4.5590000000000002</c:v>
                </c:pt>
                <c:pt idx="116">
                  <c:v>4.548</c:v>
                </c:pt>
                <c:pt idx="117">
                  <c:v>4.5339999999999998</c:v>
                </c:pt>
                <c:pt idx="118">
                  <c:v>4.5190000000000001</c:v>
                </c:pt>
                <c:pt idx="119">
                  <c:v>4.516</c:v>
                </c:pt>
                <c:pt idx="120">
                  <c:v>4.5090000000000003</c:v>
                </c:pt>
                <c:pt idx="121">
                  <c:v>4.49</c:v>
                </c:pt>
                <c:pt idx="122">
                  <c:v>4.4660000000000002</c:v>
                </c:pt>
                <c:pt idx="123">
                  <c:v>4.4610000000000003</c:v>
                </c:pt>
                <c:pt idx="124">
                  <c:v>4.4560000000000004</c:v>
                </c:pt>
                <c:pt idx="125">
                  <c:v>4.4370000000000003</c:v>
                </c:pt>
                <c:pt idx="126">
                  <c:v>4.4180000000000001</c:v>
                </c:pt>
                <c:pt idx="127">
                  <c:v>4.3899999999999997</c:v>
                </c:pt>
                <c:pt idx="128">
                  <c:v>4.3739999999999997</c:v>
                </c:pt>
                <c:pt idx="129">
                  <c:v>4.3659999999999997</c:v>
                </c:pt>
                <c:pt idx="130">
                  <c:v>4.3600000000000003</c:v>
                </c:pt>
                <c:pt idx="131">
                  <c:v>4.3499999999999996</c:v>
                </c:pt>
                <c:pt idx="132">
                  <c:v>4.3319999999999999</c:v>
                </c:pt>
                <c:pt idx="133">
                  <c:v>4.2859999999999996</c:v>
                </c:pt>
                <c:pt idx="134">
                  <c:v>4.2119999999999997</c:v>
                </c:pt>
                <c:pt idx="135">
                  <c:v>4.1890000000000001</c:v>
                </c:pt>
                <c:pt idx="136">
                  <c:v>4.1660000000000004</c:v>
                </c:pt>
                <c:pt idx="137">
                  <c:v>4.1070000000000002</c:v>
                </c:pt>
                <c:pt idx="138">
                  <c:v>4.085</c:v>
                </c:pt>
                <c:pt idx="139">
                  <c:v>4.0149999999999997</c:v>
                </c:pt>
                <c:pt idx="140">
                  <c:v>3.9750000000000001</c:v>
                </c:pt>
                <c:pt idx="141">
                  <c:v>3.9729999999999999</c:v>
                </c:pt>
                <c:pt idx="142">
                  <c:v>3.9329999999999998</c:v>
                </c:pt>
                <c:pt idx="143">
                  <c:v>3.802</c:v>
                </c:pt>
                <c:pt idx="144">
                  <c:v>3.7749999999999999</c:v>
                </c:pt>
                <c:pt idx="145">
                  <c:v>3.6629999999999998</c:v>
                </c:pt>
                <c:pt idx="146">
                  <c:v>3.597</c:v>
                </c:pt>
                <c:pt idx="147">
                  <c:v>3.488</c:v>
                </c:pt>
                <c:pt idx="148">
                  <c:v>3.4620000000000002</c:v>
                </c:pt>
                <c:pt idx="149">
                  <c:v>3.41</c:v>
                </c:pt>
                <c:pt idx="150">
                  <c:v>3.38</c:v>
                </c:pt>
                <c:pt idx="151">
                  <c:v>3.3340000000000001</c:v>
                </c:pt>
                <c:pt idx="152">
                  <c:v>3.2309999999999999</c:v>
                </c:pt>
                <c:pt idx="153">
                  <c:v>3.2029999999999998</c:v>
                </c:pt>
                <c:pt idx="154">
                  <c:v>3.0830000000000002</c:v>
                </c:pt>
                <c:pt idx="155">
                  <c:v>2.8530000000000002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1-42AC-9EF5-609D99602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401024"/>
        <c:axId val="378405184"/>
      </c:barChart>
      <c:catAx>
        <c:axId val="3784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05184"/>
        <c:crosses val="autoZero"/>
        <c:auto val="1"/>
        <c:lblAlgn val="ctr"/>
        <c:lblOffset val="100"/>
        <c:noMultiLvlLbl val="0"/>
      </c:catAx>
      <c:valAx>
        <c:axId val="3784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0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GDP per capita vs Happiness score 2019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663753569268E-2"/>
          <c:y val="0.13813969682361135"/>
          <c:w val="0.9228045340486285"/>
          <c:h val="0.71827414430339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Analysis_data!$D$1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Analysis_data!$C$2:$C$157</c:f>
              <c:numCache>
                <c:formatCode>General</c:formatCode>
                <c:ptCount val="156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  <c:pt idx="10">
                  <c:v>7.2279999999999998</c:v>
                </c:pt>
                <c:pt idx="11">
                  <c:v>7.1669999999999998</c:v>
                </c:pt>
                <c:pt idx="12">
                  <c:v>7.1390000000000002</c:v>
                </c:pt>
                <c:pt idx="13">
                  <c:v>7.09</c:v>
                </c:pt>
                <c:pt idx="14">
                  <c:v>7.0540000000000003</c:v>
                </c:pt>
                <c:pt idx="15">
                  <c:v>7.0209999999999999</c:v>
                </c:pt>
                <c:pt idx="16">
                  <c:v>6.9850000000000003</c:v>
                </c:pt>
                <c:pt idx="17">
                  <c:v>6.923</c:v>
                </c:pt>
                <c:pt idx="18">
                  <c:v>6.8920000000000003</c:v>
                </c:pt>
                <c:pt idx="19">
                  <c:v>6.8520000000000003</c:v>
                </c:pt>
                <c:pt idx="20">
                  <c:v>6.8250000000000002</c:v>
                </c:pt>
                <c:pt idx="21">
                  <c:v>6.726</c:v>
                </c:pt>
                <c:pt idx="22">
                  <c:v>6.5949999999999998</c:v>
                </c:pt>
                <c:pt idx="23">
                  <c:v>6.5919999999999996</c:v>
                </c:pt>
                <c:pt idx="24">
                  <c:v>6.4459999999999997</c:v>
                </c:pt>
                <c:pt idx="25">
                  <c:v>6.444</c:v>
                </c:pt>
                <c:pt idx="26">
                  <c:v>6.4359999999999999</c:v>
                </c:pt>
                <c:pt idx="27">
                  <c:v>6.375</c:v>
                </c:pt>
                <c:pt idx="28">
                  <c:v>6.3739999999999997</c:v>
                </c:pt>
                <c:pt idx="29">
                  <c:v>6.3540000000000001</c:v>
                </c:pt>
                <c:pt idx="30">
                  <c:v>6.3209999999999997</c:v>
                </c:pt>
                <c:pt idx="31">
                  <c:v>6.3</c:v>
                </c:pt>
                <c:pt idx="32">
                  <c:v>6.2930000000000001</c:v>
                </c:pt>
                <c:pt idx="33">
                  <c:v>6.2619999999999996</c:v>
                </c:pt>
                <c:pt idx="34">
                  <c:v>6.2530000000000001</c:v>
                </c:pt>
                <c:pt idx="35">
                  <c:v>6.2229999999999999</c:v>
                </c:pt>
                <c:pt idx="36">
                  <c:v>6.1989999999999998</c:v>
                </c:pt>
                <c:pt idx="37">
                  <c:v>6.1980000000000004</c:v>
                </c:pt>
                <c:pt idx="38">
                  <c:v>6.1920000000000002</c:v>
                </c:pt>
                <c:pt idx="39">
                  <c:v>6.1820000000000004</c:v>
                </c:pt>
                <c:pt idx="40">
                  <c:v>6.1740000000000004</c:v>
                </c:pt>
                <c:pt idx="41">
                  <c:v>6.149</c:v>
                </c:pt>
                <c:pt idx="42">
                  <c:v>6.125</c:v>
                </c:pt>
                <c:pt idx="43">
                  <c:v>6.1180000000000003</c:v>
                </c:pt>
                <c:pt idx="44">
                  <c:v>6.1050000000000004</c:v>
                </c:pt>
                <c:pt idx="45">
                  <c:v>6.1</c:v>
                </c:pt>
                <c:pt idx="46">
                  <c:v>6.0860000000000003</c:v>
                </c:pt>
                <c:pt idx="47">
                  <c:v>6.07</c:v>
                </c:pt>
                <c:pt idx="48">
                  <c:v>6.0460000000000003</c:v>
                </c:pt>
                <c:pt idx="49">
                  <c:v>6.0279999999999996</c:v>
                </c:pt>
                <c:pt idx="50">
                  <c:v>6.0209999999999999</c:v>
                </c:pt>
                <c:pt idx="51">
                  <c:v>6.008</c:v>
                </c:pt>
                <c:pt idx="52">
                  <c:v>5.94</c:v>
                </c:pt>
                <c:pt idx="53">
                  <c:v>5.8949999999999996</c:v>
                </c:pt>
                <c:pt idx="54">
                  <c:v>5.8929999999999998</c:v>
                </c:pt>
                <c:pt idx="55">
                  <c:v>5.89</c:v>
                </c:pt>
                <c:pt idx="56">
                  <c:v>5.8879999999999999</c:v>
                </c:pt>
                <c:pt idx="57">
                  <c:v>5.8860000000000001</c:v>
                </c:pt>
                <c:pt idx="58">
                  <c:v>5.86</c:v>
                </c:pt>
                <c:pt idx="59">
                  <c:v>5.8090000000000002</c:v>
                </c:pt>
                <c:pt idx="60">
                  <c:v>5.7789999999999999</c:v>
                </c:pt>
                <c:pt idx="61">
                  <c:v>5.758</c:v>
                </c:pt>
                <c:pt idx="62">
                  <c:v>5.7430000000000003</c:v>
                </c:pt>
                <c:pt idx="63">
                  <c:v>5.718</c:v>
                </c:pt>
                <c:pt idx="64">
                  <c:v>5.6970000000000001</c:v>
                </c:pt>
                <c:pt idx="65">
                  <c:v>5.6929999999999996</c:v>
                </c:pt>
                <c:pt idx="66">
                  <c:v>5.6529999999999996</c:v>
                </c:pt>
                <c:pt idx="67">
                  <c:v>5.6479999999999997</c:v>
                </c:pt>
                <c:pt idx="68">
                  <c:v>5.6310000000000002</c:v>
                </c:pt>
                <c:pt idx="69">
                  <c:v>5.6029999999999998</c:v>
                </c:pt>
                <c:pt idx="70">
                  <c:v>5.5289999999999999</c:v>
                </c:pt>
                <c:pt idx="71">
                  <c:v>5.5250000000000004</c:v>
                </c:pt>
                <c:pt idx="72">
                  <c:v>5.5229999999999997</c:v>
                </c:pt>
                <c:pt idx="73">
                  <c:v>5.4669999999999996</c:v>
                </c:pt>
                <c:pt idx="74">
                  <c:v>5.4320000000000004</c:v>
                </c:pt>
                <c:pt idx="75">
                  <c:v>5.43</c:v>
                </c:pt>
                <c:pt idx="76">
                  <c:v>5.4249999999999998</c:v>
                </c:pt>
                <c:pt idx="77">
                  <c:v>5.3860000000000001</c:v>
                </c:pt>
                <c:pt idx="78">
                  <c:v>5.3730000000000002</c:v>
                </c:pt>
                <c:pt idx="79">
                  <c:v>5.3390000000000004</c:v>
                </c:pt>
                <c:pt idx="80">
                  <c:v>5.3230000000000004</c:v>
                </c:pt>
                <c:pt idx="81">
                  <c:v>5.2869999999999999</c:v>
                </c:pt>
                <c:pt idx="82">
                  <c:v>5.2850000000000001</c:v>
                </c:pt>
                <c:pt idx="83">
                  <c:v>5.274</c:v>
                </c:pt>
                <c:pt idx="84">
                  <c:v>5.2649999999999997</c:v>
                </c:pt>
                <c:pt idx="85">
                  <c:v>5.2610000000000001</c:v>
                </c:pt>
                <c:pt idx="86">
                  <c:v>5.2469999999999999</c:v>
                </c:pt>
                <c:pt idx="87">
                  <c:v>5.2110000000000003</c:v>
                </c:pt>
                <c:pt idx="88">
                  <c:v>5.2080000000000002</c:v>
                </c:pt>
                <c:pt idx="89">
                  <c:v>5.2080000000000002</c:v>
                </c:pt>
                <c:pt idx="90">
                  <c:v>5.1970000000000001</c:v>
                </c:pt>
                <c:pt idx="91">
                  <c:v>5.1920000000000002</c:v>
                </c:pt>
                <c:pt idx="92">
                  <c:v>5.1909999999999998</c:v>
                </c:pt>
                <c:pt idx="93">
                  <c:v>5.1749999999999998</c:v>
                </c:pt>
                <c:pt idx="94">
                  <c:v>5.0819999999999999</c:v>
                </c:pt>
                <c:pt idx="95">
                  <c:v>5.0439999999999996</c:v>
                </c:pt>
                <c:pt idx="96">
                  <c:v>5.0110000000000001</c:v>
                </c:pt>
                <c:pt idx="97">
                  <c:v>4.9960000000000004</c:v>
                </c:pt>
                <c:pt idx="98">
                  <c:v>4.944</c:v>
                </c:pt>
                <c:pt idx="99">
                  <c:v>4.9130000000000003</c:v>
                </c:pt>
                <c:pt idx="100">
                  <c:v>4.9059999999999997</c:v>
                </c:pt>
                <c:pt idx="101">
                  <c:v>4.883</c:v>
                </c:pt>
                <c:pt idx="102">
                  <c:v>4.8120000000000003</c:v>
                </c:pt>
                <c:pt idx="103">
                  <c:v>4.7990000000000004</c:v>
                </c:pt>
                <c:pt idx="104">
                  <c:v>4.7960000000000003</c:v>
                </c:pt>
                <c:pt idx="105">
                  <c:v>4.7220000000000004</c:v>
                </c:pt>
                <c:pt idx="106">
                  <c:v>4.7190000000000003</c:v>
                </c:pt>
                <c:pt idx="107">
                  <c:v>4.7069999999999999</c:v>
                </c:pt>
                <c:pt idx="108">
                  <c:v>4.7</c:v>
                </c:pt>
                <c:pt idx="109">
                  <c:v>4.6959999999999997</c:v>
                </c:pt>
                <c:pt idx="110">
                  <c:v>4.681</c:v>
                </c:pt>
                <c:pt idx="111">
                  <c:v>4.6680000000000001</c:v>
                </c:pt>
                <c:pt idx="112">
                  <c:v>4.6390000000000002</c:v>
                </c:pt>
                <c:pt idx="113">
                  <c:v>4.6280000000000001</c:v>
                </c:pt>
                <c:pt idx="114">
                  <c:v>4.5869999999999997</c:v>
                </c:pt>
                <c:pt idx="115">
                  <c:v>4.5590000000000002</c:v>
                </c:pt>
                <c:pt idx="116">
                  <c:v>4.548</c:v>
                </c:pt>
                <c:pt idx="117">
                  <c:v>4.5339999999999998</c:v>
                </c:pt>
                <c:pt idx="118">
                  <c:v>4.5190000000000001</c:v>
                </c:pt>
                <c:pt idx="119">
                  <c:v>4.516</c:v>
                </c:pt>
                <c:pt idx="120">
                  <c:v>4.5090000000000003</c:v>
                </c:pt>
                <c:pt idx="121">
                  <c:v>4.49</c:v>
                </c:pt>
                <c:pt idx="122">
                  <c:v>4.4660000000000002</c:v>
                </c:pt>
                <c:pt idx="123">
                  <c:v>4.4610000000000003</c:v>
                </c:pt>
                <c:pt idx="124">
                  <c:v>4.4560000000000004</c:v>
                </c:pt>
                <c:pt idx="125">
                  <c:v>4.4370000000000003</c:v>
                </c:pt>
                <c:pt idx="126">
                  <c:v>4.4180000000000001</c:v>
                </c:pt>
                <c:pt idx="127">
                  <c:v>4.3899999999999997</c:v>
                </c:pt>
                <c:pt idx="128">
                  <c:v>4.3739999999999997</c:v>
                </c:pt>
                <c:pt idx="129">
                  <c:v>4.3659999999999997</c:v>
                </c:pt>
                <c:pt idx="130">
                  <c:v>4.3600000000000003</c:v>
                </c:pt>
                <c:pt idx="131">
                  <c:v>4.3499999999999996</c:v>
                </c:pt>
                <c:pt idx="132">
                  <c:v>4.3319999999999999</c:v>
                </c:pt>
                <c:pt idx="133">
                  <c:v>4.2859999999999996</c:v>
                </c:pt>
                <c:pt idx="134">
                  <c:v>4.2119999999999997</c:v>
                </c:pt>
                <c:pt idx="135">
                  <c:v>4.1890000000000001</c:v>
                </c:pt>
                <c:pt idx="136">
                  <c:v>4.1660000000000004</c:v>
                </c:pt>
                <c:pt idx="137">
                  <c:v>4.1070000000000002</c:v>
                </c:pt>
                <c:pt idx="138">
                  <c:v>4.085</c:v>
                </c:pt>
                <c:pt idx="139">
                  <c:v>4.0149999999999997</c:v>
                </c:pt>
                <c:pt idx="140">
                  <c:v>3.9750000000000001</c:v>
                </c:pt>
                <c:pt idx="141">
                  <c:v>3.9729999999999999</c:v>
                </c:pt>
                <c:pt idx="142">
                  <c:v>3.9329999999999998</c:v>
                </c:pt>
                <c:pt idx="143">
                  <c:v>3.802</c:v>
                </c:pt>
                <c:pt idx="144">
                  <c:v>3.7749999999999999</c:v>
                </c:pt>
                <c:pt idx="145">
                  <c:v>3.6629999999999998</c:v>
                </c:pt>
                <c:pt idx="146">
                  <c:v>3.597</c:v>
                </c:pt>
                <c:pt idx="147">
                  <c:v>3.488</c:v>
                </c:pt>
                <c:pt idx="148">
                  <c:v>3.4620000000000002</c:v>
                </c:pt>
                <c:pt idx="149">
                  <c:v>3.41</c:v>
                </c:pt>
                <c:pt idx="150">
                  <c:v>3.38</c:v>
                </c:pt>
                <c:pt idx="151">
                  <c:v>3.3340000000000001</c:v>
                </c:pt>
                <c:pt idx="152">
                  <c:v>3.2309999999999999</c:v>
                </c:pt>
                <c:pt idx="153">
                  <c:v>3.2029999999999998</c:v>
                </c:pt>
                <c:pt idx="154">
                  <c:v>3.0830000000000002</c:v>
                </c:pt>
                <c:pt idx="155">
                  <c:v>2.8530000000000002</c:v>
                </c:pt>
              </c:numCache>
            </c:numRef>
          </c:xVal>
          <c:yVal>
            <c:numRef>
              <c:f>Analysis_data!$D$2:$D$157</c:f>
              <c:numCache>
                <c:formatCode>General</c:formatCode>
                <c:ptCount val="156"/>
                <c:pt idx="0">
                  <c:v>1.34</c:v>
                </c:pt>
                <c:pt idx="1">
                  <c:v>1.383</c:v>
                </c:pt>
                <c:pt idx="2">
                  <c:v>1.488</c:v>
                </c:pt>
                <c:pt idx="3">
                  <c:v>1.38</c:v>
                </c:pt>
                <c:pt idx="4">
                  <c:v>1.3959999999999999</c:v>
                </c:pt>
                <c:pt idx="5">
                  <c:v>1.452</c:v>
                </c:pt>
                <c:pt idx="6">
                  <c:v>1.387</c:v>
                </c:pt>
                <c:pt idx="7">
                  <c:v>1.3029999999999999</c:v>
                </c:pt>
                <c:pt idx="8">
                  <c:v>1.365</c:v>
                </c:pt>
                <c:pt idx="9">
                  <c:v>1.3759999999999999</c:v>
                </c:pt>
                <c:pt idx="10">
                  <c:v>1.3720000000000001</c:v>
                </c:pt>
                <c:pt idx="11">
                  <c:v>1.034</c:v>
                </c:pt>
                <c:pt idx="12">
                  <c:v>1.276</c:v>
                </c:pt>
                <c:pt idx="13">
                  <c:v>1.609</c:v>
                </c:pt>
                <c:pt idx="14">
                  <c:v>1.333</c:v>
                </c:pt>
                <c:pt idx="15">
                  <c:v>1.4990000000000001</c:v>
                </c:pt>
                <c:pt idx="16">
                  <c:v>1.373</c:v>
                </c:pt>
                <c:pt idx="17">
                  <c:v>1.3560000000000001</c:v>
                </c:pt>
                <c:pt idx="18">
                  <c:v>1.4330000000000001</c:v>
                </c:pt>
                <c:pt idx="19">
                  <c:v>1.2689999999999999</c:v>
                </c:pt>
                <c:pt idx="20">
                  <c:v>1.5029999999999999</c:v>
                </c:pt>
                <c:pt idx="21">
                  <c:v>1.3</c:v>
                </c:pt>
                <c:pt idx="22">
                  <c:v>1.07</c:v>
                </c:pt>
                <c:pt idx="23">
                  <c:v>1.3240000000000001</c:v>
                </c:pt>
                <c:pt idx="24">
                  <c:v>1.3680000000000001</c:v>
                </c:pt>
                <c:pt idx="25">
                  <c:v>1.159</c:v>
                </c:pt>
                <c:pt idx="26">
                  <c:v>0.8</c:v>
                </c:pt>
                <c:pt idx="27">
                  <c:v>1.403</c:v>
                </c:pt>
                <c:pt idx="28">
                  <c:v>1.6839999999999999</c:v>
                </c:pt>
                <c:pt idx="29">
                  <c:v>1.286</c:v>
                </c:pt>
                <c:pt idx="30">
                  <c:v>1.149</c:v>
                </c:pt>
                <c:pt idx="31">
                  <c:v>1.004</c:v>
                </c:pt>
                <c:pt idx="32">
                  <c:v>1.1240000000000001</c:v>
                </c:pt>
                <c:pt idx="33">
                  <c:v>1.5720000000000001</c:v>
                </c:pt>
                <c:pt idx="34">
                  <c:v>0.79400000000000004</c:v>
                </c:pt>
                <c:pt idx="35">
                  <c:v>1.294</c:v>
                </c:pt>
                <c:pt idx="36">
                  <c:v>1.3620000000000001</c:v>
                </c:pt>
                <c:pt idx="37">
                  <c:v>1.246</c:v>
                </c:pt>
                <c:pt idx="38">
                  <c:v>1.2310000000000001</c:v>
                </c:pt>
                <c:pt idx="39">
                  <c:v>1.206</c:v>
                </c:pt>
                <c:pt idx="40">
                  <c:v>0.745</c:v>
                </c:pt>
                <c:pt idx="41">
                  <c:v>1.238</c:v>
                </c:pt>
                <c:pt idx="42">
                  <c:v>0.98499999999999999</c:v>
                </c:pt>
                <c:pt idx="43">
                  <c:v>1.258</c:v>
                </c:pt>
                <c:pt idx="44">
                  <c:v>0.69399999999999995</c:v>
                </c:pt>
                <c:pt idx="45">
                  <c:v>0.88200000000000001</c:v>
                </c:pt>
                <c:pt idx="46">
                  <c:v>1.0920000000000001</c:v>
                </c:pt>
                <c:pt idx="47">
                  <c:v>1.1619999999999999</c:v>
                </c:pt>
                <c:pt idx="48">
                  <c:v>1.2629999999999999</c:v>
                </c:pt>
                <c:pt idx="49">
                  <c:v>0.91200000000000003</c:v>
                </c:pt>
                <c:pt idx="50">
                  <c:v>1.5</c:v>
                </c:pt>
                <c:pt idx="51">
                  <c:v>1.05</c:v>
                </c:pt>
                <c:pt idx="52">
                  <c:v>1.1870000000000001</c:v>
                </c:pt>
                <c:pt idx="53">
                  <c:v>1.3009999999999999</c:v>
                </c:pt>
                <c:pt idx="54">
                  <c:v>1.2370000000000001</c:v>
                </c:pt>
                <c:pt idx="55">
                  <c:v>0.83099999999999996</c:v>
                </c:pt>
                <c:pt idx="56">
                  <c:v>1.1200000000000001</c:v>
                </c:pt>
                <c:pt idx="57">
                  <c:v>1.327</c:v>
                </c:pt>
                <c:pt idx="58">
                  <c:v>0.64200000000000002</c:v>
                </c:pt>
                <c:pt idx="59">
                  <c:v>1.173</c:v>
                </c:pt>
                <c:pt idx="60">
                  <c:v>0.77600000000000002</c:v>
                </c:pt>
                <c:pt idx="61">
                  <c:v>1.2010000000000001</c:v>
                </c:pt>
                <c:pt idx="62">
                  <c:v>0.85499999999999998</c:v>
                </c:pt>
                <c:pt idx="63">
                  <c:v>1.2629999999999999</c:v>
                </c:pt>
                <c:pt idx="64">
                  <c:v>0.96</c:v>
                </c:pt>
                <c:pt idx="65">
                  <c:v>1.2210000000000001</c:v>
                </c:pt>
                <c:pt idx="66">
                  <c:v>0.67700000000000005</c:v>
                </c:pt>
                <c:pt idx="67">
                  <c:v>1.1830000000000001</c:v>
                </c:pt>
                <c:pt idx="68">
                  <c:v>0.80700000000000005</c:v>
                </c:pt>
                <c:pt idx="69">
                  <c:v>1.004</c:v>
                </c:pt>
                <c:pt idx="70">
                  <c:v>0.68500000000000005</c:v>
                </c:pt>
                <c:pt idx="71">
                  <c:v>1.044</c:v>
                </c:pt>
                <c:pt idx="72">
                  <c:v>1.0509999999999999</c:v>
                </c:pt>
                <c:pt idx="73">
                  <c:v>0.49299999999999999</c:v>
                </c:pt>
                <c:pt idx="74">
                  <c:v>1.155</c:v>
                </c:pt>
                <c:pt idx="75">
                  <c:v>1.4379999999999999</c:v>
                </c:pt>
                <c:pt idx="76">
                  <c:v>1.0149999999999999</c:v>
                </c:pt>
                <c:pt idx="77">
                  <c:v>0.94499999999999995</c:v>
                </c:pt>
                <c:pt idx="78">
                  <c:v>1.1830000000000001</c:v>
                </c:pt>
                <c:pt idx="79">
                  <c:v>1.2210000000000001</c:v>
                </c:pt>
                <c:pt idx="80">
                  <c:v>1.0669999999999999</c:v>
                </c:pt>
                <c:pt idx="81">
                  <c:v>1.181</c:v>
                </c:pt>
                <c:pt idx="82">
                  <c:v>0.94799999999999995</c:v>
                </c:pt>
                <c:pt idx="83">
                  <c:v>0.98299999999999998</c:v>
                </c:pt>
                <c:pt idx="84">
                  <c:v>0.69599999999999995</c:v>
                </c:pt>
                <c:pt idx="85">
                  <c:v>0.55100000000000005</c:v>
                </c:pt>
                <c:pt idx="86">
                  <c:v>1.052</c:v>
                </c:pt>
                <c:pt idx="87">
                  <c:v>1.002</c:v>
                </c:pt>
                <c:pt idx="88">
                  <c:v>0.80100000000000005</c:v>
                </c:pt>
                <c:pt idx="89">
                  <c:v>1.0429999999999999</c:v>
                </c:pt>
                <c:pt idx="90">
                  <c:v>0.98699999999999999</c:v>
                </c:pt>
                <c:pt idx="91">
                  <c:v>0.93100000000000005</c:v>
                </c:pt>
                <c:pt idx="92">
                  <c:v>1.0289999999999999</c:v>
                </c:pt>
                <c:pt idx="93">
                  <c:v>0.74099999999999999</c:v>
                </c:pt>
                <c:pt idx="94">
                  <c:v>0.81299999999999994</c:v>
                </c:pt>
                <c:pt idx="95">
                  <c:v>0.54900000000000004</c:v>
                </c:pt>
                <c:pt idx="96">
                  <c:v>1.0920000000000001</c:v>
                </c:pt>
                <c:pt idx="97">
                  <c:v>0.61099999999999999</c:v>
                </c:pt>
                <c:pt idx="98">
                  <c:v>0.56899999999999995</c:v>
                </c:pt>
                <c:pt idx="99">
                  <c:v>0.44600000000000001</c:v>
                </c:pt>
                <c:pt idx="100">
                  <c:v>0.83699999999999997</c:v>
                </c:pt>
                <c:pt idx="101">
                  <c:v>0.39300000000000002</c:v>
                </c:pt>
                <c:pt idx="102">
                  <c:v>0.67300000000000004</c:v>
                </c:pt>
                <c:pt idx="103">
                  <c:v>1.0569999999999999</c:v>
                </c:pt>
                <c:pt idx="104">
                  <c:v>0.76400000000000001</c:v>
                </c:pt>
                <c:pt idx="105">
                  <c:v>0.96</c:v>
                </c:pt>
                <c:pt idx="106">
                  <c:v>0.94699999999999995</c:v>
                </c:pt>
                <c:pt idx="107">
                  <c:v>0.96</c:v>
                </c:pt>
                <c:pt idx="108">
                  <c:v>0.57399999999999995</c:v>
                </c:pt>
                <c:pt idx="109">
                  <c:v>0.65700000000000003</c:v>
                </c:pt>
                <c:pt idx="110">
                  <c:v>0.45</c:v>
                </c:pt>
                <c:pt idx="111">
                  <c:v>0</c:v>
                </c:pt>
                <c:pt idx="112">
                  <c:v>0.879</c:v>
                </c:pt>
                <c:pt idx="113">
                  <c:v>0.13800000000000001</c:v>
                </c:pt>
                <c:pt idx="114">
                  <c:v>0.33100000000000002</c:v>
                </c:pt>
                <c:pt idx="115">
                  <c:v>0.85</c:v>
                </c:pt>
                <c:pt idx="116">
                  <c:v>1.1000000000000001</c:v>
                </c:pt>
                <c:pt idx="117">
                  <c:v>0.38</c:v>
                </c:pt>
                <c:pt idx="118">
                  <c:v>0.88600000000000001</c:v>
                </c:pt>
                <c:pt idx="119">
                  <c:v>0.308</c:v>
                </c:pt>
                <c:pt idx="120">
                  <c:v>0.51200000000000001</c:v>
                </c:pt>
                <c:pt idx="121">
                  <c:v>0.56999999999999995</c:v>
                </c:pt>
                <c:pt idx="122">
                  <c:v>0.20399999999999999</c:v>
                </c:pt>
                <c:pt idx="123">
                  <c:v>0.92100000000000004</c:v>
                </c:pt>
                <c:pt idx="124">
                  <c:v>0.56200000000000006</c:v>
                </c:pt>
                <c:pt idx="125">
                  <c:v>1.0429999999999999</c:v>
                </c:pt>
                <c:pt idx="126">
                  <c:v>9.4E-2</c:v>
                </c:pt>
                <c:pt idx="127">
                  <c:v>0.38500000000000001</c:v>
                </c:pt>
                <c:pt idx="128">
                  <c:v>0.26800000000000002</c:v>
                </c:pt>
                <c:pt idx="129">
                  <c:v>0.94899999999999995</c:v>
                </c:pt>
                <c:pt idx="130">
                  <c:v>0.71</c:v>
                </c:pt>
                <c:pt idx="131">
                  <c:v>0.35</c:v>
                </c:pt>
                <c:pt idx="132">
                  <c:v>0.82</c:v>
                </c:pt>
                <c:pt idx="133">
                  <c:v>0.33600000000000002</c:v>
                </c:pt>
                <c:pt idx="134">
                  <c:v>0.81100000000000005</c:v>
                </c:pt>
                <c:pt idx="135">
                  <c:v>0.33200000000000002</c:v>
                </c:pt>
                <c:pt idx="136">
                  <c:v>0.91300000000000003</c:v>
                </c:pt>
                <c:pt idx="137">
                  <c:v>0.57799999999999996</c:v>
                </c:pt>
                <c:pt idx="138">
                  <c:v>0.27500000000000002</c:v>
                </c:pt>
                <c:pt idx="139">
                  <c:v>0.755</c:v>
                </c:pt>
                <c:pt idx="140">
                  <c:v>7.2999999999999995E-2</c:v>
                </c:pt>
                <c:pt idx="141">
                  <c:v>0.27400000000000002</c:v>
                </c:pt>
                <c:pt idx="142">
                  <c:v>0.27400000000000002</c:v>
                </c:pt>
                <c:pt idx="143">
                  <c:v>0.48899999999999999</c:v>
                </c:pt>
                <c:pt idx="144">
                  <c:v>4.5999999999999999E-2</c:v>
                </c:pt>
                <c:pt idx="145">
                  <c:v>0.36599999999999999</c:v>
                </c:pt>
                <c:pt idx="146">
                  <c:v>0.32300000000000001</c:v>
                </c:pt>
                <c:pt idx="147">
                  <c:v>1.0409999999999999</c:v>
                </c:pt>
                <c:pt idx="148">
                  <c:v>0.61899999999999999</c:v>
                </c:pt>
                <c:pt idx="149">
                  <c:v>0.191</c:v>
                </c:pt>
                <c:pt idx="150">
                  <c:v>0.28699999999999998</c:v>
                </c:pt>
                <c:pt idx="151">
                  <c:v>0.35899999999999999</c:v>
                </c:pt>
                <c:pt idx="152">
                  <c:v>0.47599999999999998</c:v>
                </c:pt>
                <c:pt idx="153">
                  <c:v>0.35</c:v>
                </c:pt>
                <c:pt idx="154">
                  <c:v>2.5999999999999999E-2</c:v>
                </c:pt>
                <c:pt idx="155">
                  <c:v>0.30599999999999999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0-4B62-B413-3F2A7F01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111664"/>
        <c:axId val="460130384"/>
      </c:scatterChart>
      <c:valAx>
        <c:axId val="4601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baseline="0"/>
                  <a:t>Happiness Score</a:t>
                </a:r>
              </a:p>
            </c:rich>
          </c:tx>
          <c:layout>
            <c:manualLayout>
              <c:xMode val="edge"/>
              <c:yMode val="edge"/>
              <c:x val="0.39889988751406064"/>
              <c:y val="0.93154534254646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30384"/>
        <c:crosses val="autoZero"/>
        <c:crossBetween val="midCat"/>
      </c:valAx>
      <c:valAx>
        <c:axId val="460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1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per capita vs Happiness score 2019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61575604575E-2"/>
          <c:y val="8.0316676914907861E-2"/>
          <c:w val="0.89022462817147852"/>
          <c:h val="0.6978659717894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Analysis_data!$D$1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Analysis_data!$C$2:$C$157</c:f>
              <c:numCache>
                <c:formatCode>General</c:formatCode>
                <c:ptCount val="156"/>
                <c:pt idx="0">
                  <c:v>7.7690000000000001</c:v>
                </c:pt>
                <c:pt idx="1">
                  <c:v>7.6</c:v>
                </c:pt>
                <c:pt idx="2">
                  <c:v>7.5540000000000003</c:v>
                </c:pt>
                <c:pt idx="3">
                  <c:v>7.4939999999999998</c:v>
                </c:pt>
                <c:pt idx="4">
                  <c:v>7.4880000000000004</c:v>
                </c:pt>
                <c:pt idx="5">
                  <c:v>7.48</c:v>
                </c:pt>
                <c:pt idx="6">
                  <c:v>7.343</c:v>
                </c:pt>
                <c:pt idx="7">
                  <c:v>7.3070000000000004</c:v>
                </c:pt>
                <c:pt idx="8">
                  <c:v>7.2779999999999996</c:v>
                </c:pt>
                <c:pt idx="9">
                  <c:v>7.2460000000000004</c:v>
                </c:pt>
                <c:pt idx="10">
                  <c:v>7.2279999999999998</c:v>
                </c:pt>
                <c:pt idx="11">
                  <c:v>7.1669999999999998</c:v>
                </c:pt>
                <c:pt idx="12">
                  <c:v>7.1390000000000002</c:v>
                </c:pt>
                <c:pt idx="13">
                  <c:v>7.09</c:v>
                </c:pt>
                <c:pt idx="14">
                  <c:v>7.0540000000000003</c:v>
                </c:pt>
                <c:pt idx="15">
                  <c:v>7.0209999999999999</c:v>
                </c:pt>
                <c:pt idx="16">
                  <c:v>6.9850000000000003</c:v>
                </c:pt>
                <c:pt idx="17">
                  <c:v>6.923</c:v>
                </c:pt>
                <c:pt idx="18">
                  <c:v>6.8920000000000003</c:v>
                </c:pt>
                <c:pt idx="19">
                  <c:v>6.8520000000000003</c:v>
                </c:pt>
                <c:pt idx="20">
                  <c:v>6.8250000000000002</c:v>
                </c:pt>
                <c:pt idx="21">
                  <c:v>6.726</c:v>
                </c:pt>
                <c:pt idx="22">
                  <c:v>6.5949999999999998</c:v>
                </c:pt>
                <c:pt idx="23">
                  <c:v>6.5919999999999996</c:v>
                </c:pt>
                <c:pt idx="24">
                  <c:v>6.4459999999999997</c:v>
                </c:pt>
                <c:pt idx="25">
                  <c:v>6.444</c:v>
                </c:pt>
                <c:pt idx="26">
                  <c:v>6.4359999999999999</c:v>
                </c:pt>
                <c:pt idx="27">
                  <c:v>6.375</c:v>
                </c:pt>
                <c:pt idx="28">
                  <c:v>6.3739999999999997</c:v>
                </c:pt>
                <c:pt idx="29">
                  <c:v>6.3540000000000001</c:v>
                </c:pt>
                <c:pt idx="30">
                  <c:v>6.3209999999999997</c:v>
                </c:pt>
                <c:pt idx="31">
                  <c:v>6.3</c:v>
                </c:pt>
                <c:pt idx="32">
                  <c:v>6.2930000000000001</c:v>
                </c:pt>
                <c:pt idx="33">
                  <c:v>6.2619999999999996</c:v>
                </c:pt>
                <c:pt idx="34">
                  <c:v>6.2530000000000001</c:v>
                </c:pt>
                <c:pt idx="35">
                  <c:v>6.2229999999999999</c:v>
                </c:pt>
                <c:pt idx="36">
                  <c:v>6.1989999999999998</c:v>
                </c:pt>
                <c:pt idx="37">
                  <c:v>6.1980000000000004</c:v>
                </c:pt>
                <c:pt idx="38">
                  <c:v>6.1920000000000002</c:v>
                </c:pt>
                <c:pt idx="39">
                  <c:v>6.1820000000000004</c:v>
                </c:pt>
                <c:pt idx="40">
                  <c:v>6.1740000000000004</c:v>
                </c:pt>
                <c:pt idx="41">
                  <c:v>6.149</c:v>
                </c:pt>
                <c:pt idx="42">
                  <c:v>6.125</c:v>
                </c:pt>
                <c:pt idx="43">
                  <c:v>6.1180000000000003</c:v>
                </c:pt>
                <c:pt idx="44">
                  <c:v>6.1050000000000004</c:v>
                </c:pt>
                <c:pt idx="45">
                  <c:v>6.1</c:v>
                </c:pt>
                <c:pt idx="46">
                  <c:v>6.0860000000000003</c:v>
                </c:pt>
                <c:pt idx="47">
                  <c:v>6.07</c:v>
                </c:pt>
                <c:pt idx="48">
                  <c:v>6.0460000000000003</c:v>
                </c:pt>
                <c:pt idx="49">
                  <c:v>6.0279999999999996</c:v>
                </c:pt>
                <c:pt idx="50">
                  <c:v>6.0209999999999999</c:v>
                </c:pt>
                <c:pt idx="51">
                  <c:v>6.008</c:v>
                </c:pt>
                <c:pt idx="52">
                  <c:v>5.94</c:v>
                </c:pt>
                <c:pt idx="53">
                  <c:v>5.8949999999999996</c:v>
                </c:pt>
                <c:pt idx="54">
                  <c:v>5.8929999999999998</c:v>
                </c:pt>
                <c:pt idx="55">
                  <c:v>5.89</c:v>
                </c:pt>
                <c:pt idx="56">
                  <c:v>5.8879999999999999</c:v>
                </c:pt>
                <c:pt idx="57">
                  <c:v>5.8860000000000001</c:v>
                </c:pt>
                <c:pt idx="58">
                  <c:v>5.86</c:v>
                </c:pt>
                <c:pt idx="59">
                  <c:v>5.8090000000000002</c:v>
                </c:pt>
                <c:pt idx="60">
                  <c:v>5.7789999999999999</c:v>
                </c:pt>
                <c:pt idx="61">
                  <c:v>5.758</c:v>
                </c:pt>
                <c:pt idx="62">
                  <c:v>5.7430000000000003</c:v>
                </c:pt>
                <c:pt idx="63">
                  <c:v>5.718</c:v>
                </c:pt>
                <c:pt idx="64">
                  <c:v>5.6970000000000001</c:v>
                </c:pt>
                <c:pt idx="65">
                  <c:v>5.6929999999999996</c:v>
                </c:pt>
                <c:pt idx="66">
                  <c:v>5.6529999999999996</c:v>
                </c:pt>
                <c:pt idx="67">
                  <c:v>5.6479999999999997</c:v>
                </c:pt>
                <c:pt idx="68">
                  <c:v>5.6310000000000002</c:v>
                </c:pt>
                <c:pt idx="69">
                  <c:v>5.6029999999999998</c:v>
                </c:pt>
                <c:pt idx="70">
                  <c:v>5.5289999999999999</c:v>
                </c:pt>
                <c:pt idx="71">
                  <c:v>5.5250000000000004</c:v>
                </c:pt>
                <c:pt idx="72">
                  <c:v>5.5229999999999997</c:v>
                </c:pt>
                <c:pt idx="73">
                  <c:v>5.4669999999999996</c:v>
                </c:pt>
                <c:pt idx="74">
                  <c:v>5.4320000000000004</c:v>
                </c:pt>
                <c:pt idx="75">
                  <c:v>5.43</c:v>
                </c:pt>
                <c:pt idx="76">
                  <c:v>5.4249999999999998</c:v>
                </c:pt>
                <c:pt idx="77">
                  <c:v>5.3860000000000001</c:v>
                </c:pt>
                <c:pt idx="78">
                  <c:v>5.3730000000000002</c:v>
                </c:pt>
                <c:pt idx="79">
                  <c:v>5.3390000000000004</c:v>
                </c:pt>
                <c:pt idx="80">
                  <c:v>5.3230000000000004</c:v>
                </c:pt>
                <c:pt idx="81">
                  <c:v>5.2869999999999999</c:v>
                </c:pt>
                <c:pt idx="82">
                  <c:v>5.2850000000000001</c:v>
                </c:pt>
                <c:pt idx="83">
                  <c:v>5.274</c:v>
                </c:pt>
                <c:pt idx="84">
                  <c:v>5.2649999999999997</c:v>
                </c:pt>
                <c:pt idx="85">
                  <c:v>5.2610000000000001</c:v>
                </c:pt>
                <c:pt idx="86">
                  <c:v>5.2469999999999999</c:v>
                </c:pt>
                <c:pt idx="87">
                  <c:v>5.2110000000000003</c:v>
                </c:pt>
                <c:pt idx="88">
                  <c:v>5.2080000000000002</c:v>
                </c:pt>
                <c:pt idx="89">
                  <c:v>5.2080000000000002</c:v>
                </c:pt>
                <c:pt idx="90">
                  <c:v>5.1970000000000001</c:v>
                </c:pt>
                <c:pt idx="91">
                  <c:v>5.1920000000000002</c:v>
                </c:pt>
                <c:pt idx="92">
                  <c:v>5.1909999999999998</c:v>
                </c:pt>
                <c:pt idx="93">
                  <c:v>5.1749999999999998</c:v>
                </c:pt>
                <c:pt idx="94">
                  <c:v>5.0819999999999999</c:v>
                </c:pt>
                <c:pt idx="95">
                  <c:v>5.0439999999999996</c:v>
                </c:pt>
                <c:pt idx="96">
                  <c:v>5.0110000000000001</c:v>
                </c:pt>
                <c:pt idx="97">
                  <c:v>4.9960000000000004</c:v>
                </c:pt>
                <c:pt idx="98">
                  <c:v>4.944</c:v>
                </c:pt>
                <c:pt idx="99">
                  <c:v>4.9130000000000003</c:v>
                </c:pt>
                <c:pt idx="100">
                  <c:v>4.9059999999999997</c:v>
                </c:pt>
                <c:pt idx="101">
                  <c:v>4.883</c:v>
                </c:pt>
                <c:pt idx="102">
                  <c:v>4.8120000000000003</c:v>
                </c:pt>
                <c:pt idx="103">
                  <c:v>4.7990000000000004</c:v>
                </c:pt>
                <c:pt idx="104">
                  <c:v>4.7960000000000003</c:v>
                </c:pt>
                <c:pt idx="105">
                  <c:v>4.7220000000000004</c:v>
                </c:pt>
                <c:pt idx="106">
                  <c:v>4.7190000000000003</c:v>
                </c:pt>
                <c:pt idx="107">
                  <c:v>4.7069999999999999</c:v>
                </c:pt>
                <c:pt idx="108">
                  <c:v>4.7</c:v>
                </c:pt>
                <c:pt idx="109">
                  <c:v>4.6959999999999997</c:v>
                </c:pt>
                <c:pt idx="110">
                  <c:v>4.681</c:v>
                </c:pt>
                <c:pt idx="111">
                  <c:v>4.6680000000000001</c:v>
                </c:pt>
                <c:pt idx="112">
                  <c:v>4.6390000000000002</c:v>
                </c:pt>
                <c:pt idx="113">
                  <c:v>4.6280000000000001</c:v>
                </c:pt>
                <c:pt idx="114">
                  <c:v>4.5869999999999997</c:v>
                </c:pt>
                <c:pt idx="115">
                  <c:v>4.5590000000000002</c:v>
                </c:pt>
                <c:pt idx="116">
                  <c:v>4.548</c:v>
                </c:pt>
                <c:pt idx="117">
                  <c:v>4.5339999999999998</c:v>
                </c:pt>
                <c:pt idx="118">
                  <c:v>4.5190000000000001</c:v>
                </c:pt>
                <c:pt idx="119">
                  <c:v>4.516</c:v>
                </c:pt>
                <c:pt idx="120">
                  <c:v>4.5090000000000003</c:v>
                </c:pt>
                <c:pt idx="121">
                  <c:v>4.49</c:v>
                </c:pt>
                <c:pt idx="122">
                  <c:v>4.4660000000000002</c:v>
                </c:pt>
                <c:pt idx="123">
                  <c:v>4.4610000000000003</c:v>
                </c:pt>
                <c:pt idx="124">
                  <c:v>4.4560000000000004</c:v>
                </c:pt>
                <c:pt idx="125">
                  <c:v>4.4370000000000003</c:v>
                </c:pt>
                <c:pt idx="126">
                  <c:v>4.4180000000000001</c:v>
                </c:pt>
                <c:pt idx="127">
                  <c:v>4.3899999999999997</c:v>
                </c:pt>
                <c:pt idx="128">
                  <c:v>4.3739999999999997</c:v>
                </c:pt>
                <c:pt idx="129">
                  <c:v>4.3659999999999997</c:v>
                </c:pt>
                <c:pt idx="130">
                  <c:v>4.3600000000000003</c:v>
                </c:pt>
                <c:pt idx="131">
                  <c:v>4.3499999999999996</c:v>
                </c:pt>
                <c:pt idx="132">
                  <c:v>4.3319999999999999</c:v>
                </c:pt>
                <c:pt idx="133">
                  <c:v>4.2859999999999996</c:v>
                </c:pt>
                <c:pt idx="134">
                  <c:v>4.2119999999999997</c:v>
                </c:pt>
                <c:pt idx="135">
                  <c:v>4.1890000000000001</c:v>
                </c:pt>
                <c:pt idx="136">
                  <c:v>4.1660000000000004</c:v>
                </c:pt>
                <c:pt idx="137">
                  <c:v>4.1070000000000002</c:v>
                </c:pt>
                <c:pt idx="138">
                  <c:v>4.085</c:v>
                </c:pt>
                <c:pt idx="139">
                  <c:v>4.0149999999999997</c:v>
                </c:pt>
                <c:pt idx="140">
                  <c:v>3.9750000000000001</c:v>
                </c:pt>
                <c:pt idx="141">
                  <c:v>3.9729999999999999</c:v>
                </c:pt>
                <c:pt idx="142">
                  <c:v>3.9329999999999998</c:v>
                </c:pt>
                <c:pt idx="143">
                  <c:v>3.802</c:v>
                </c:pt>
                <c:pt idx="144">
                  <c:v>3.7749999999999999</c:v>
                </c:pt>
                <c:pt idx="145">
                  <c:v>3.6629999999999998</c:v>
                </c:pt>
                <c:pt idx="146">
                  <c:v>3.597</c:v>
                </c:pt>
                <c:pt idx="147">
                  <c:v>3.488</c:v>
                </c:pt>
                <c:pt idx="148">
                  <c:v>3.4620000000000002</c:v>
                </c:pt>
                <c:pt idx="149">
                  <c:v>3.41</c:v>
                </c:pt>
                <c:pt idx="150">
                  <c:v>3.38</c:v>
                </c:pt>
                <c:pt idx="151">
                  <c:v>3.3340000000000001</c:v>
                </c:pt>
                <c:pt idx="152">
                  <c:v>3.2309999999999999</c:v>
                </c:pt>
                <c:pt idx="153">
                  <c:v>3.2029999999999998</c:v>
                </c:pt>
                <c:pt idx="154">
                  <c:v>3.0830000000000002</c:v>
                </c:pt>
                <c:pt idx="155">
                  <c:v>2.8530000000000002</c:v>
                </c:pt>
              </c:numCache>
            </c:numRef>
          </c:xVal>
          <c:yVal>
            <c:numRef>
              <c:f>Analysis_data!$D$2:$D$157</c:f>
              <c:numCache>
                <c:formatCode>General</c:formatCode>
                <c:ptCount val="156"/>
                <c:pt idx="0">
                  <c:v>1.34</c:v>
                </c:pt>
                <c:pt idx="1">
                  <c:v>1.383</c:v>
                </c:pt>
                <c:pt idx="2">
                  <c:v>1.488</c:v>
                </c:pt>
                <c:pt idx="3">
                  <c:v>1.38</c:v>
                </c:pt>
                <c:pt idx="4">
                  <c:v>1.3959999999999999</c:v>
                </c:pt>
                <c:pt idx="5">
                  <c:v>1.452</c:v>
                </c:pt>
                <c:pt idx="6">
                  <c:v>1.387</c:v>
                </c:pt>
                <c:pt idx="7">
                  <c:v>1.3029999999999999</c:v>
                </c:pt>
                <c:pt idx="8">
                  <c:v>1.365</c:v>
                </c:pt>
                <c:pt idx="9">
                  <c:v>1.3759999999999999</c:v>
                </c:pt>
                <c:pt idx="10">
                  <c:v>1.3720000000000001</c:v>
                </c:pt>
                <c:pt idx="11">
                  <c:v>1.034</c:v>
                </c:pt>
                <c:pt idx="12">
                  <c:v>1.276</c:v>
                </c:pt>
                <c:pt idx="13">
                  <c:v>1.609</c:v>
                </c:pt>
                <c:pt idx="14">
                  <c:v>1.333</c:v>
                </c:pt>
                <c:pt idx="15">
                  <c:v>1.4990000000000001</c:v>
                </c:pt>
                <c:pt idx="16">
                  <c:v>1.373</c:v>
                </c:pt>
                <c:pt idx="17">
                  <c:v>1.3560000000000001</c:v>
                </c:pt>
                <c:pt idx="18">
                  <c:v>1.4330000000000001</c:v>
                </c:pt>
                <c:pt idx="19">
                  <c:v>1.2689999999999999</c:v>
                </c:pt>
                <c:pt idx="20">
                  <c:v>1.5029999999999999</c:v>
                </c:pt>
                <c:pt idx="21">
                  <c:v>1.3</c:v>
                </c:pt>
                <c:pt idx="22">
                  <c:v>1.07</c:v>
                </c:pt>
                <c:pt idx="23">
                  <c:v>1.3240000000000001</c:v>
                </c:pt>
                <c:pt idx="24">
                  <c:v>1.3680000000000001</c:v>
                </c:pt>
                <c:pt idx="25">
                  <c:v>1.159</c:v>
                </c:pt>
                <c:pt idx="26">
                  <c:v>0.8</c:v>
                </c:pt>
                <c:pt idx="27">
                  <c:v>1.403</c:v>
                </c:pt>
                <c:pt idx="28">
                  <c:v>1.6839999999999999</c:v>
                </c:pt>
                <c:pt idx="29">
                  <c:v>1.286</c:v>
                </c:pt>
                <c:pt idx="30">
                  <c:v>1.149</c:v>
                </c:pt>
                <c:pt idx="31">
                  <c:v>1.004</c:v>
                </c:pt>
                <c:pt idx="32">
                  <c:v>1.1240000000000001</c:v>
                </c:pt>
                <c:pt idx="33">
                  <c:v>1.5720000000000001</c:v>
                </c:pt>
                <c:pt idx="34">
                  <c:v>0.79400000000000004</c:v>
                </c:pt>
                <c:pt idx="35">
                  <c:v>1.294</c:v>
                </c:pt>
                <c:pt idx="36">
                  <c:v>1.3620000000000001</c:v>
                </c:pt>
                <c:pt idx="37">
                  <c:v>1.246</c:v>
                </c:pt>
                <c:pt idx="38">
                  <c:v>1.2310000000000001</c:v>
                </c:pt>
                <c:pt idx="39">
                  <c:v>1.206</c:v>
                </c:pt>
                <c:pt idx="40">
                  <c:v>0.745</c:v>
                </c:pt>
                <c:pt idx="41">
                  <c:v>1.238</c:v>
                </c:pt>
                <c:pt idx="42">
                  <c:v>0.98499999999999999</c:v>
                </c:pt>
                <c:pt idx="43">
                  <c:v>1.258</c:v>
                </c:pt>
                <c:pt idx="44">
                  <c:v>0.69399999999999995</c:v>
                </c:pt>
                <c:pt idx="45">
                  <c:v>0.88200000000000001</c:v>
                </c:pt>
                <c:pt idx="46">
                  <c:v>1.0920000000000001</c:v>
                </c:pt>
                <c:pt idx="47">
                  <c:v>1.1619999999999999</c:v>
                </c:pt>
                <c:pt idx="48">
                  <c:v>1.2629999999999999</c:v>
                </c:pt>
                <c:pt idx="49">
                  <c:v>0.91200000000000003</c:v>
                </c:pt>
                <c:pt idx="50">
                  <c:v>1.5</c:v>
                </c:pt>
                <c:pt idx="51">
                  <c:v>1.05</c:v>
                </c:pt>
                <c:pt idx="52">
                  <c:v>1.1870000000000001</c:v>
                </c:pt>
                <c:pt idx="53">
                  <c:v>1.3009999999999999</c:v>
                </c:pt>
                <c:pt idx="54">
                  <c:v>1.2370000000000001</c:v>
                </c:pt>
                <c:pt idx="55">
                  <c:v>0.83099999999999996</c:v>
                </c:pt>
                <c:pt idx="56">
                  <c:v>1.1200000000000001</c:v>
                </c:pt>
                <c:pt idx="57">
                  <c:v>1.327</c:v>
                </c:pt>
                <c:pt idx="58">
                  <c:v>0.64200000000000002</c:v>
                </c:pt>
                <c:pt idx="59">
                  <c:v>1.173</c:v>
                </c:pt>
                <c:pt idx="60">
                  <c:v>0.77600000000000002</c:v>
                </c:pt>
                <c:pt idx="61">
                  <c:v>1.2010000000000001</c:v>
                </c:pt>
                <c:pt idx="62">
                  <c:v>0.85499999999999998</c:v>
                </c:pt>
                <c:pt idx="63">
                  <c:v>1.2629999999999999</c:v>
                </c:pt>
                <c:pt idx="64">
                  <c:v>0.96</c:v>
                </c:pt>
                <c:pt idx="65">
                  <c:v>1.2210000000000001</c:v>
                </c:pt>
                <c:pt idx="66">
                  <c:v>0.67700000000000005</c:v>
                </c:pt>
                <c:pt idx="67">
                  <c:v>1.1830000000000001</c:v>
                </c:pt>
                <c:pt idx="68">
                  <c:v>0.80700000000000005</c:v>
                </c:pt>
                <c:pt idx="69">
                  <c:v>1.004</c:v>
                </c:pt>
                <c:pt idx="70">
                  <c:v>0.68500000000000005</c:v>
                </c:pt>
                <c:pt idx="71">
                  <c:v>1.044</c:v>
                </c:pt>
                <c:pt idx="72">
                  <c:v>1.0509999999999999</c:v>
                </c:pt>
                <c:pt idx="73">
                  <c:v>0.49299999999999999</c:v>
                </c:pt>
                <c:pt idx="74">
                  <c:v>1.155</c:v>
                </c:pt>
                <c:pt idx="75">
                  <c:v>1.4379999999999999</c:v>
                </c:pt>
                <c:pt idx="76">
                  <c:v>1.0149999999999999</c:v>
                </c:pt>
                <c:pt idx="77">
                  <c:v>0.94499999999999995</c:v>
                </c:pt>
                <c:pt idx="78">
                  <c:v>1.1830000000000001</c:v>
                </c:pt>
                <c:pt idx="79">
                  <c:v>1.2210000000000001</c:v>
                </c:pt>
                <c:pt idx="80">
                  <c:v>1.0669999999999999</c:v>
                </c:pt>
                <c:pt idx="81">
                  <c:v>1.181</c:v>
                </c:pt>
                <c:pt idx="82">
                  <c:v>0.94799999999999995</c:v>
                </c:pt>
                <c:pt idx="83">
                  <c:v>0.98299999999999998</c:v>
                </c:pt>
                <c:pt idx="84">
                  <c:v>0.69599999999999995</c:v>
                </c:pt>
                <c:pt idx="85">
                  <c:v>0.55100000000000005</c:v>
                </c:pt>
                <c:pt idx="86">
                  <c:v>1.052</c:v>
                </c:pt>
                <c:pt idx="87">
                  <c:v>1.002</c:v>
                </c:pt>
                <c:pt idx="88">
                  <c:v>0.80100000000000005</c:v>
                </c:pt>
                <c:pt idx="89">
                  <c:v>1.0429999999999999</c:v>
                </c:pt>
                <c:pt idx="90">
                  <c:v>0.98699999999999999</c:v>
                </c:pt>
                <c:pt idx="91">
                  <c:v>0.93100000000000005</c:v>
                </c:pt>
                <c:pt idx="92">
                  <c:v>1.0289999999999999</c:v>
                </c:pt>
                <c:pt idx="93">
                  <c:v>0.74099999999999999</c:v>
                </c:pt>
                <c:pt idx="94">
                  <c:v>0.81299999999999994</c:v>
                </c:pt>
                <c:pt idx="95">
                  <c:v>0.54900000000000004</c:v>
                </c:pt>
                <c:pt idx="96">
                  <c:v>1.0920000000000001</c:v>
                </c:pt>
                <c:pt idx="97">
                  <c:v>0.61099999999999999</c:v>
                </c:pt>
                <c:pt idx="98">
                  <c:v>0.56899999999999995</c:v>
                </c:pt>
                <c:pt idx="99">
                  <c:v>0.44600000000000001</c:v>
                </c:pt>
                <c:pt idx="100">
                  <c:v>0.83699999999999997</c:v>
                </c:pt>
                <c:pt idx="101">
                  <c:v>0.39300000000000002</c:v>
                </c:pt>
                <c:pt idx="102">
                  <c:v>0.67300000000000004</c:v>
                </c:pt>
                <c:pt idx="103">
                  <c:v>1.0569999999999999</c:v>
                </c:pt>
                <c:pt idx="104">
                  <c:v>0.76400000000000001</c:v>
                </c:pt>
                <c:pt idx="105">
                  <c:v>0.96</c:v>
                </c:pt>
                <c:pt idx="106">
                  <c:v>0.94699999999999995</c:v>
                </c:pt>
                <c:pt idx="107">
                  <c:v>0.96</c:v>
                </c:pt>
                <c:pt idx="108">
                  <c:v>0.57399999999999995</c:v>
                </c:pt>
                <c:pt idx="109">
                  <c:v>0.65700000000000003</c:v>
                </c:pt>
                <c:pt idx="110">
                  <c:v>0.45</c:v>
                </c:pt>
                <c:pt idx="111">
                  <c:v>0</c:v>
                </c:pt>
                <c:pt idx="112">
                  <c:v>0.879</c:v>
                </c:pt>
                <c:pt idx="113">
                  <c:v>0.13800000000000001</c:v>
                </c:pt>
                <c:pt idx="114">
                  <c:v>0.33100000000000002</c:v>
                </c:pt>
                <c:pt idx="115">
                  <c:v>0.85</c:v>
                </c:pt>
                <c:pt idx="116">
                  <c:v>1.1000000000000001</c:v>
                </c:pt>
                <c:pt idx="117">
                  <c:v>0.38</c:v>
                </c:pt>
                <c:pt idx="118">
                  <c:v>0.88600000000000001</c:v>
                </c:pt>
                <c:pt idx="119">
                  <c:v>0.308</c:v>
                </c:pt>
                <c:pt idx="120">
                  <c:v>0.51200000000000001</c:v>
                </c:pt>
                <c:pt idx="121">
                  <c:v>0.56999999999999995</c:v>
                </c:pt>
                <c:pt idx="122">
                  <c:v>0.20399999999999999</c:v>
                </c:pt>
                <c:pt idx="123">
                  <c:v>0.92100000000000004</c:v>
                </c:pt>
                <c:pt idx="124">
                  <c:v>0.56200000000000006</c:v>
                </c:pt>
                <c:pt idx="125">
                  <c:v>1.0429999999999999</c:v>
                </c:pt>
                <c:pt idx="126">
                  <c:v>9.4E-2</c:v>
                </c:pt>
                <c:pt idx="127">
                  <c:v>0.38500000000000001</c:v>
                </c:pt>
                <c:pt idx="128">
                  <c:v>0.26800000000000002</c:v>
                </c:pt>
                <c:pt idx="129">
                  <c:v>0.94899999999999995</c:v>
                </c:pt>
                <c:pt idx="130">
                  <c:v>0.71</c:v>
                </c:pt>
                <c:pt idx="131">
                  <c:v>0.35</c:v>
                </c:pt>
                <c:pt idx="132">
                  <c:v>0.82</c:v>
                </c:pt>
                <c:pt idx="133">
                  <c:v>0.33600000000000002</c:v>
                </c:pt>
                <c:pt idx="134">
                  <c:v>0.81100000000000005</c:v>
                </c:pt>
                <c:pt idx="135">
                  <c:v>0.33200000000000002</c:v>
                </c:pt>
                <c:pt idx="136">
                  <c:v>0.91300000000000003</c:v>
                </c:pt>
                <c:pt idx="137">
                  <c:v>0.57799999999999996</c:v>
                </c:pt>
                <c:pt idx="138">
                  <c:v>0.27500000000000002</c:v>
                </c:pt>
                <c:pt idx="139">
                  <c:v>0.755</c:v>
                </c:pt>
                <c:pt idx="140">
                  <c:v>7.2999999999999995E-2</c:v>
                </c:pt>
                <c:pt idx="141">
                  <c:v>0.27400000000000002</c:v>
                </c:pt>
                <c:pt idx="142">
                  <c:v>0.27400000000000002</c:v>
                </c:pt>
                <c:pt idx="143">
                  <c:v>0.48899999999999999</c:v>
                </c:pt>
                <c:pt idx="144">
                  <c:v>4.5999999999999999E-2</c:v>
                </c:pt>
                <c:pt idx="145">
                  <c:v>0.36599999999999999</c:v>
                </c:pt>
                <c:pt idx="146">
                  <c:v>0.32300000000000001</c:v>
                </c:pt>
                <c:pt idx="147">
                  <c:v>1.0409999999999999</c:v>
                </c:pt>
                <c:pt idx="148">
                  <c:v>0.61899999999999999</c:v>
                </c:pt>
                <c:pt idx="149">
                  <c:v>0.191</c:v>
                </c:pt>
                <c:pt idx="150">
                  <c:v>0.28699999999999998</c:v>
                </c:pt>
                <c:pt idx="151">
                  <c:v>0.35899999999999999</c:v>
                </c:pt>
                <c:pt idx="152">
                  <c:v>0.47599999999999998</c:v>
                </c:pt>
                <c:pt idx="153">
                  <c:v>0.35</c:v>
                </c:pt>
                <c:pt idx="154">
                  <c:v>2.5999999999999999E-2</c:v>
                </c:pt>
                <c:pt idx="155">
                  <c:v>0.30599999999999999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A-43FC-98E1-CADA6FCA7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111664"/>
        <c:axId val="460130384"/>
      </c:scatterChart>
      <c:valAx>
        <c:axId val="4601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Happiness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889984171825843"/>
              <c:y val="0.836307256556959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30384"/>
        <c:crosses val="autoZero"/>
        <c:crossBetween val="midCat"/>
      </c:valAx>
      <c:valAx>
        <c:axId val="4601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  <a:r>
                  <a:rPr lang="en-US" baseline="0"/>
                  <a:t> per Capita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0178117048346057E-2"/>
              <c:y val="0.78943844883095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1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4</xdr:row>
      <xdr:rowOff>146050</xdr:rowOff>
    </xdr:from>
    <xdr:to>
      <xdr:col>12</xdr:col>
      <xdr:colOff>111125</xdr:colOff>
      <xdr:row>21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0.31367</cdr:x>
      <cdr:y>0.89172</cdr:y>
    </cdr:from>
    <cdr:to>
      <cdr:x>0.7097</cdr:x>
      <cdr:y>0.98506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35100" y="2667000"/>
          <a:ext cx="1811907" cy="27916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181428</xdr:colOff>
      <xdr:row>13</xdr:row>
      <xdr:rowOff>136070</xdr:rowOff>
    </xdr:from>
    <xdr:to>
      <xdr:col>8</xdr:col>
      <xdr:colOff>183243</xdr:colOff>
      <xdr:row>36</xdr:row>
      <xdr:rowOff>9072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481456</xdr:colOff>
      <xdr:row>13</xdr:row>
      <xdr:rowOff>136070</xdr:rowOff>
    </xdr:from>
    <xdr:to>
      <xdr:col>22</xdr:col>
      <xdr:colOff>143093</xdr:colOff>
      <xdr:row>36</xdr:row>
      <xdr:rowOff>81794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0.30814</cdr:x>
      <cdr:y>0</cdr:y>
    </cdr:from>
    <cdr:to>
      <cdr:x>0.70417</cdr:x>
      <cdr:y>0.09334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527484" y="0"/>
          <a:ext cx="3248391" cy="37764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44450</xdr:rowOff>
    </xdr:from>
    <xdr:to>
      <xdr:col>12</xdr:col>
      <xdr:colOff>495300</xdr:colOff>
      <xdr:row>25</xdr:row>
      <xdr:rowOff>38100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orche" refreshedDate="45984.601505671293" createdVersion="6" refreshedVersion="6" minRefreshableVersion="3" recordCount="156">
  <cacheSource type="worksheet">
    <worksheetSource ref="A1:I157" sheet="Analysis_data"/>
  </cacheSource>
  <cacheFields count="9">
    <cacheField name="Overall rank" numFmtId="0">
      <sharedItems containsSemiMixedTypes="0" containsString="0" containsNumber="1" containsInteger="1" minValue="1" maxValue="156"/>
    </cacheField>
    <cacheField name="Country or region" numFmtId="0">
      <sharedItems count="156">
        <s v="Finland"/>
        <s v="Denmark"/>
        <s v="Norway"/>
        <s v="Iceland"/>
        <s v="Netherlands"/>
        <s v="Switzerland"/>
        <s v="Sweden"/>
        <s v="New Zealand"/>
        <s v="Canada"/>
        <s v="Austria"/>
        <s v="Australia"/>
        <s v="Costa Rica"/>
        <s v="Israel"/>
        <s v="Luxembourg"/>
        <s v="United Kingdom"/>
        <s v="Ireland"/>
        <s v="Germany"/>
        <s v="Belgium"/>
        <s v="United States"/>
        <s v="Czech Republic"/>
        <s v="United Arab Emirates"/>
        <s v="Malta"/>
        <s v="Mexico"/>
        <s v="France"/>
        <s v="Taiwan"/>
        <s v="Chile"/>
        <s v="Guatemala"/>
        <s v="Saudi Arabia"/>
        <s v="Qatar"/>
        <s v="Spain"/>
        <s v="Panama"/>
        <s v="Brazil"/>
        <s v="Uruguay"/>
        <s v="Singapore"/>
        <s v="El Salvador"/>
        <s v="Italy"/>
        <s v="Bahrain"/>
        <s v="Slovakia"/>
        <s v="Trinidad &amp; Tobago"/>
        <s v="Poland"/>
        <s v="Uzbekistan"/>
        <s v="Lithuania"/>
        <s v="Colombia"/>
        <s v="Slovenia"/>
        <s v="Nicaragua"/>
        <s v="Kosovo"/>
        <s v="Argentina"/>
        <s v="Romania"/>
        <s v="Cyprus"/>
        <s v="Ecuador"/>
        <s v="Kuwait"/>
        <s v="Thailand"/>
        <s v="Latvia"/>
        <s v="South Korea"/>
        <s v="Estonia"/>
        <s v="Jamaica"/>
        <s v="Mauritius"/>
        <s v="Japan"/>
        <s v="Honduras"/>
        <s v="Kazakhstan"/>
        <s v="Bolivia"/>
        <s v="Hungary"/>
        <s v="Paraguay"/>
        <s v="Northern Cyprus"/>
        <s v="Peru"/>
        <s v="Portugal"/>
        <s v="Pakistan"/>
        <s v="Russia"/>
        <s v="Philippines"/>
        <s v="Serbia"/>
        <s v="Moldova"/>
        <s v="Libya"/>
        <s v="Montenegro"/>
        <s v="Tajikistan"/>
        <s v="Croatia"/>
        <s v="Hong Kong"/>
        <s v="Dominican Republic"/>
        <s v="Bosnia and Herzegovina"/>
        <s v="Turkey"/>
        <s v="Malaysia"/>
        <s v="Belarus"/>
        <s v="Greece"/>
        <s v="Mongolia"/>
        <s v="North Macedonia"/>
        <s v="Nigeria"/>
        <s v="Kyrgyzstan"/>
        <s v="Turkmenistan"/>
        <s v="Algeria"/>
        <s v="Morocco"/>
        <s v="Azerbaijan"/>
        <s v="Lebanon"/>
        <s v="Indonesia"/>
        <s v="China"/>
        <s v="Vietnam"/>
        <s v="Bhutan"/>
        <s v="Cameroon"/>
        <s v="Bulgaria"/>
        <s v="Ghana"/>
        <s v="Ivory Coast"/>
        <s v="Nepal"/>
        <s v="Jordan"/>
        <s v="Benin"/>
        <s v="Congo (Brazzaville)"/>
        <s v="Gabon"/>
        <s v="Laos"/>
        <s v="South Africa"/>
        <s v="Albania"/>
        <s v="Venezuela"/>
        <s v="Cambodia"/>
        <s v="Palestinian Territories"/>
        <s v="Senegal"/>
        <s v="Somalia"/>
        <s v="Namibia"/>
        <s v="Niger"/>
        <s v="Burkina Faso"/>
        <s v="Armenia"/>
        <s v="Iran"/>
        <s v="Guinea"/>
        <s v="Georgia"/>
        <s v="Gambia"/>
        <s v="Kenya"/>
        <s v="Mauritania"/>
        <s v="Mozambique"/>
        <s v="Tunisia"/>
        <s v="Bangladesh"/>
        <s v="Iraq"/>
        <s v="Congo (Kinshasa)"/>
        <s v="Mali"/>
        <s v="Sierra Leone"/>
        <s v="Sri Lanka"/>
        <s v="Myanmar"/>
        <s v="Chad"/>
        <s v="Ukraine"/>
        <s v="Ethiopia"/>
        <s v="Swaziland"/>
        <s v="Uganda"/>
        <s v="Egypt"/>
        <s v="Zambia"/>
        <s v="Togo"/>
        <s v="India"/>
        <s v="Liberia"/>
        <s v="Comoros"/>
        <s v="Madagascar"/>
        <s v="Lesotho"/>
        <s v="Burundi"/>
        <s v="Zimbabwe"/>
        <s v="Haiti"/>
        <s v="Botswana"/>
        <s v="Syria"/>
        <s v="Malawi"/>
        <s v="Yemen"/>
        <s v="Rwanda"/>
        <s v="Tanzania"/>
        <s v="Afghanistan"/>
        <s v="Central African Republic"/>
        <s v="South Sudan"/>
      </sharedItems>
    </cacheField>
    <cacheField name="Score" numFmtId="0">
      <sharedItems containsSemiMixedTypes="0" containsString="0" containsNumber="1" minValue="2.8530000000000002" maxValue="7.7690000000000001"/>
    </cacheField>
    <cacheField name="GDP per capita" numFmtId="0">
      <sharedItems containsSemiMixedTypes="0" containsString="0" containsNumber="1" minValue="0" maxValue="1.6839999999999999" count="146">
        <n v="1.34"/>
        <n v="1.383"/>
        <n v="1.488"/>
        <n v="1.38"/>
        <n v="1.3959999999999999"/>
        <n v="1.452"/>
        <n v="1.387"/>
        <n v="1.3029999999999999"/>
        <n v="1.365"/>
        <n v="1.3759999999999999"/>
        <n v="1.3720000000000001"/>
        <n v="1.034"/>
        <n v="1.276"/>
        <n v="1.609"/>
        <n v="1.333"/>
        <n v="1.4990000000000001"/>
        <n v="1.373"/>
        <n v="1.3560000000000001"/>
        <n v="1.4330000000000001"/>
        <n v="1.2689999999999999"/>
        <n v="1.5029999999999999"/>
        <n v="1.3"/>
        <n v="1.07"/>
        <n v="1.3240000000000001"/>
        <n v="1.3680000000000001"/>
        <n v="1.159"/>
        <n v="0.8"/>
        <n v="1.403"/>
        <n v="1.6839999999999999"/>
        <n v="1.286"/>
        <n v="1.149"/>
        <n v="1.004"/>
        <n v="1.1240000000000001"/>
        <n v="1.5720000000000001"/>
        <n v="0.79400000000000004"/>
        <n v="1.294"/>
        <n v="1.3620000000000001"/>
        <n v="1.246"/>
        <n v="1.2310000000000001"/>
        <n v="1.206"/>
        <n v="0.745"/>
        <n v="1.238"/>
        <n v="0.98499999999999999"/>
        <n v="1.258"/>
        <n v="0.69399999999999995"/>
        <n v="0.88200000000000001"/>
        <n v="1.0920000000000001"/>
        <n v="1.1619999999999999"/>
        <n v="1.2629999999999999"/>
        <n v="0.91200000000000003"/>
        <n v="1.5"/>
        <n v="1.05"/>
        <n v="1.1870000000000001"/>
        <n v="1.3009999999999999"/>
        <n v="1.2370000000000001"/>
        <n v="0.83099999999999996"/>
        <n v="1.1200000000000001"/>
        <n v="1.327"/>
        <n v="0.64200000000000002"/>
        <n v="1.173"/>
        <n v="0.77600000000000002"/>
        <n v="1.2010000000000001"/>
        <n v="0.85499999999999998"/>
        <n v="0.96"/>
        <n v="1.2210000000000001"/>
        <n v="0.67700000000000005"/>
        <n v="1.1830000000000001"/>
        <n v="0.80700000000000005"/>
        <n v="0.68500000000000005"/>
        <n v="1.044"/>
        <n v="1.0509999999999999"/>
        <n v="0.49299999999999999"/>
        <n v="1.155"/>
        <n v="1.4379999999999999"/>
        <n v="1.0149999999999999"/>
        <n v="0.94499999999999995"/>
        <n v="1.0669999999999999"/>
        <n v="1.181"/>
        <n v="0.94799999999999995"/>
        <n v="0.98299999999999998"/>
        <n v="0.69599999999999995"/>
        <n v="0.55100000000000005"/>
        <n v="1.052"/>
        <n v="1.002"/>
        <n v="0.80100000000000005"/>
        <n v="1.0429999999999999"/>
        <n v="0.98699999999999999"/>
        <n v="0.93100000000000005"/>
        <n v="1.0289999999999999"/>
        <n v="0.74099999999999999"/>
        <n v="0.81299999999999994"/>
        <n v="0.54900000000000004"/>
        <n v="0.61099999999999999"/>
        <n v="0.56899999999999995"/>
        <n v="0.44600000000000001"/>
        <n v="0.83699999999999997"/>
        <n v="0.39300000000000002"/>
        <n v="0.67300000000000004"/>
        <n v="1.0569999999999999"/>
        <n v="0.76400000000000001"/>
        <n v="0.94699999999999995"/>
        <n v="0.57399999999999995"/>
        <n v="0.65700000000000003"/>
        <n v="0.45"/>
        <n v="0"/>
        <n v="0.879"/>
        <n v="0.13800000000000001"/>
        <n v="0.33100000000000002"/>
        <n v="0.85"/>
        <n v="1.1000000000000001"/>
        <n v="0.38"/>
        <n v="0.88600000000000001"/>
        <n v="0.308"/>
        <n v="0.51200000000000001"/>
        <n v="0.56999999999999995"/>
        <n v="0.20399999999999999"/>
        <n v="0.92100000000000004"/>
        <n v="0.56200000000000006"/>
        <n v="9.4E-2"/>
        <n v="0.38500000000000001"/>
        <n v="0.26800000000000002"/>
        <n v="0.94899999999999995"/>
        <n v="0.71"/>
        <n v="0.35"/>
        <n v="0.82"/>
        <n v="0.33600000000000002"/>
        <n v="0.81100000000000005"/>
        <n v="0.33200000000000002"/>
        <n v="0.91300000000000003"/>
        <n v="0.57799999999999996"/>
        <n v="0.27500000000000002"/>
        <n v="0.755"/>
        <n v="7.2999999999999995E-2"/>
        <n v="0.27400000000000002"/>
        <n v="0.48899999999999999"/>
        <n v="4.5999999999999999E-2"/>
        <n v="0.36599999999999999"/>
        <n v="0.32300000000000001"/>
        <n v="1.0409999999999999"/>
        <n v="0.61899999999999999"/>
        <n v="0.191"/>
        <n v="0.28699999999999998"/>
        <n v="0.35899999999999999"/>
        <n v="0.47599999999999998"/>
        <n v="2.5999999999999999E-2"/>
        <n v="0.30599999999999999"/>
      </sharedItems>
    </cacheField>
    <cacheField name="Social support" numFmtId="0">
      <sharedItems containsSemiMixedTypes="0" containsString="0" containsNumber="1" minValue="0" maxValue="1.6240000000000001"/>
    </cacheField>
    <cacheField name="Healthy life expectancy" numFmtId="0">
      <sharedItems containsSemiMixedTypes="0" containsString="0" containsNumber="1" minValue="0" maxValue="1.141" count="119">
        <n v="0.98599999999999999"/>
        <n v="0.996"/>
        <n v="1.028"/>
        <n v="1.026"/>
        <n v="0.999"/>
        <n v="1.052"/>
        <n v="1.0089999999999999"/>
        <n v="1.0389999999999999"/>
        <n v="1.016"/>
        <n v="1.036"/>
        <n v="0.96299999999999997"/>
        <n v="1.0289999999999999"/>
        <n v="1.012"/>
        <n v="0.98699999999999999"/>
        <n v="0.874"/>
        <n v="0.92"/>
        <n v="0.82499999999999996"/>
        <n v="0.86099999999999999"/>
        <n v="1.0449999999999999"/>
        <n v="0.91400000000000003"/>
        <n v="0.746"/>
        <n v="0.79500000000000004"/>
        <n v="0.871"/>
        <n v="1.0620000000000001"/>
        <n v="0.91"/>
        <n v="0.80200000000000005"/>
        <n v="0.89100000000000001"/>
        <n v="1.141"/>
        <n v="0.78900000000000003"/>
        <n v="0.88100000000000001"/>
        <n v="0.71299999999999997"/>
        <n v="0.88400000000000001"/>
        <n v="0.75600000000000001"/>
        <n v="0.81799999999999995"/>
        <n v="0.84099999999999997"/>
        <n v="0.95299999999999996"/>
        <n v="0.83499999999999996"/>
        <n v="0.75800000000000001"/>
        <n v="1.042"/>
        <n v="0.86799999999999999"/>
        <n v="0.80800000000000005"/>
        <n v="0.82799999999999996"/>
        <n v="0.81200000000000006"/>
        <n v="0.83099999999999996"/>
        <n v="0.79800000000000004"/>
        <n v="1.0880000000000001"/>
        <n v="0.72899999999999998"/>
        <n v="0.70599999999999996"/>
        <n v="0.77700000000000002"/>
        <n v="0.85399999999999998"/>
        <n v="0.53500000000000003"/>
        <n v="0.72599999999999998"/>
        <n v="0.65700000000000003"/>
        <n v="0.73899999999999999"/>
        <n v="0.67300000000000004"/>
        <n v="0.71799999999999997"/>
        <n v="1.1220000000000001"/>
        <n v="0.77900000000000003"/>
        <n v="0.84499999999999997"/>
        <n v="0.66700000000000004"/>
        <n v="0.83799999999999997"/>
        <n v="0.245"/>
        <n v="0.72299999999999998"/>
        <n v="0.78500000000000003"/>
        <n v="0.78200000000000003"/>
        <n v="0.76900000000000002"/>
        <n v="0.81499999999999995"/>
        <n v="0.66"/>
        <n v="0.89300000000000002"/>
        <n v="0.85099999999999998"/>
        <n v="0.60399999999999998"/>
        <n v="0.33100000000000002"/>
        <n v="0.48599999999999999"/>
        <n v="0.23200000000000001"/>
        <n v="0.67700000000000005"/>
        <n v="0.39700000000000002"/>
        <n v="0.50800000000000001"/>
        <n v="0.57099999999999995"/>
        <n v="0.55100000000000005"/>
        <n v="0.46899999999999997"/>
        <n v="0.80500000000000005"/>
        <n v="0.63700000000000001"/>
        <n v="0.67200000000000004"/>
        <n v="0.26800000000000002"/>
        <n v="0.47699999999999998"/>
        <n v="0.36599999999999999"/>
        <n v="0.38"/>
        <n v="0.375"/>
        <n v="0.752"/>
        <n v="0.42799999999999999"/>
        <n v="0.58099999999999996"/>
        <n v="0.48899999999999999"/>
        <n v="0.39"/>
        <n v="0.57399999999999995"/>
        <n v="0.35699999999999998"/>
        <n v="0.308"/>
        <n v="0.24199999999999999"/>
        <n v="0.55500000000000005"/>
        <n v="0.192"/>
        <n v="0.53200000000000003"/>
        <n v="0"/>
        <n v="0.443"/>
        <n v="0.64400000000000002"/>
        <n v="0.42599999999999999"/>
        <n v="0.41"/>
        <n v="0.58799999999999997"/>
        <n v="0.505"/>
        <n v="0.16800000000000001"/>
        <n v="0.433"/>
        <n v="0.44900000000000001"/>
        <n v="0.53800000000000003"/>
        <n v="0.44"/>
        <n v="0.495"/>
        <n v="0.46300000000000002"/>
        <n v="0.61399999999999999"/>
        <n v="0.499"/>
        <n v="0.36099999999999999"/>
        <n v="0.105"/>
        <n v="0.29499999999999998"/>
      </sharedItems>
    </cacheField>
    <cacheField name="Freedom" numFmtId="0">
      <sharedItems containsSemiMixedTypes="0" containsString="0" containsNumber="1" minValue="0" maxValue="0.63100000000000001"/>
    </cacheField>
    <cacheField name="Generosity" numFmtId="0">
      <sharedItems containsSemiMixedTypes="0" containsString="0" containsNumber="1" minValue="0" maxValue="0.56599999999999995"/>
    </cacheField>
    <cacheField name="Corruption" numFmtId="0">
      <sharedItems containsSemiMixedTypes="0" containsString="0" containsNumber="1" minValue="0" maxValue="0.453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n v="1"/>
    <x v="0"/>
    <n v="7.7690000000000001"/>
    <x v="0"/>
    <n v="1.587"/>
    <x v="0"/>
    <n v="0.59599999999999997"/>
    <n v="0.153"/>
    <n v="0.39300000000000002"/>
  </r>
  <r>
    <n v="2"/>
    <x v="1"/>
    <n v="7.6"/>
    <x v="1"/>
    <n v="1.573"/>
    <x v="1"/>
    <n v="0.59199999999999997"/>
    <n v="0.252"/>
    <n v="0.41"/>
  </r>
  <r>
    <n v="3"/>
    <x v="2"/>
    <n v="7.5540000000000003"/>
    <x v="2"/>
    <n v="1.5820000000000001"/>
    <x v="2"/>
    <n v="0.60299999999999998"/>
    <n v="0.27100000000000002"/>
    <n v="0.34100000000000003"/>
  </r>
  <r>
    <n v="4"/>
    <x v="3"/>
    <n v="7.4939999999999998"/>
    <x v="3"/>
    <n v="1.6240000000000001"/>
    <x v="3"/>
    <n v="0.59099999999999997"/>
    <n v="0.35399999999999998"/>
    <n v="0.11799999999999999"/>
  </r>
  <r>
    <n v="5"/>
    <x v="4"/>
    <n v="7.4880000000000004"/>
    <x v="4"/>
    <n v="1.522"/>
    <x v="4"/>
    <n v="0.55700000000000005"/>
    <n v="0.32200000000000001"/>
    <n v="0.29799999999999999"/>
  </r>
  <r>
    <n v="6"/>
    <x v="5"/>
    <n v="7.48"/>
    <x v="5"/>
    <n v="1.526"/>
    <x v="5"/>
    <n v="0.57199999999999995"/>
    <n v="0.26300000000000001"/>
    <n v="0.34300000000000003"/>
  </r>
  <r>
    <n v="7"/>
    <x v="6"/>
    <n v="7.343"/>
    <x v="6"/>
    <n v="1.4870000000000001"/>
    <x v="6"/>
    <n v="0.57399999999999995"/>
    <n v="0.26700000000000002"/>
    <n v="0.373"/>
  </r>
  <r>
    <n v="8"/>
    <x v="7"/>
    <n v="7.3070000000000004"/>
    <x v="7"/>
    <n v="1.5569999999999999"/>
    <x v="3"/>
    <n v="0.58499999999999996"/>
    <n v="0.33"/>
    <n v="0.38"/>
  </r>
  <r>
    <n v="9"/>
    <x v="8"/>
    <n v="7.2779999999999996"/>
    <x v="8"/>
    <n v="1.5049999999999999"/>
    <x v="7"/>
    <n v="0.58399999999999996"/>
    <n v="0.28499999999999998"/>
    <n v="0.308"/>
  </r>
  <r>
    <n v="10"/>
    <x v="9"/>
    <n v="7.2460000000000004"/>
    <x v="9"/>
    <n v="1.4750000000000001"/>
    <x v="8"/>
    <n v="0.53200000000000003"/>
    <n v="0.24399999999999999"/>
    <n v="0.22600000000000001"/>
  </r>
  <r>
    <n v="11"/>
    <x v="10"/>
    <n v="7.2279999999999998"/>
    <x v="10"/>
    <n v="1.548"/>
    <x v="9"/>
    <n v="0.55700000000000005"/>
    <n v="0.33200000000000002"/>
    <n v="0.28999999999999998"/>
  </r>
  <r>
    <n v="12"/>
    <x v="11"/>
    <n v="7.1669999999999998"/>
    <x v="11"/>
    <n v="1.4410000000000001"/>
    <x v="10"/>
    <n v="0.55800000000000005"/>
    <n v="0.14399999999999999"/>
    <n v="9.2999999999999999E-2"/>
  </r>
  <r>
    <n v="13"/>
    <x v="12"/>
    <n v="7.1390000000000002"/>
    <x v="12"/>
    <n v="1.4550000000000001"/>
    <x v="11"/>
    <n v="0.371"/>
    <n v="0.26100000000000001"/>
    <n v="8.2000000000000003E-2"/>
  </r>
  <r>
    <n v="14"/>
    <x v="13"/>
    <n v="7.09"/>
    <x v="13"/>
    <n v="1.4790000000000001"/>
    <x v="12"/>
    <n v="0.52600000000000002"/>
    <n v="0.19400000000000001"/>
    <n v="0.316"/>
  </r>
  <r>
    <n v="15"/>
    <x v="14"/>
    <n v="7.0540000000000003"/>
    <x v="14"/>
    <n v="1.538"/>
    <x v="1"/>
    <n v="0.45"/>
    <n v="0.34799999999999998"/>
    <n v="0.27800000000000002"/>
  </r>
  <r>
    <n v="16"/>
    <x v="15"/>
    <n v="7.0209999999999999"/>
    <x v="15"/>
    <n v="1.5529999999999999"/>
    <x v="4"/>
    <n v="0.51600000000000001"/>
    <n v="0.29799999999999999"/>
    <n v="0.31"/>
  </r>
  <r>
    <n v="17"/>
    <x v="16"/>
    <n v="6.9850000000000003"/>
    <x v="16"/>
    <n v="1.454"/>
    <x v="13"/>
    <n v="0.495"/>
    <n v="0.26100000000000001"/>
    <n v="0.26500000000000001"/>
  </r>
  <r>
    <n v="18"/>
    <x v="17"/>
    <n v="6.923"/>
    <x v="17"/>
    <n v="1.504"/>
    <x v="0"/>
    <n v="0.47299999999999998"/>
    <n v="0.16"/>
    <n v="0.21"/>
  </r>
  <r>
    <n v="19"/>
    <x v="18"/>
    <n v="6.8920000000000003"/>
    <x v="18"/>
    <n v="1.4570000000000001"/>
    <x v="14"/>
    <n v="0.45400000000000001"/>
    <n v="0.28000000000000003"/>
    <n v="0.128"/>
  </r>
  <r>
    <n v="20"/>
    <x v="19"/>
    <n v="6.8520000000000003"/>
    <x v="19"/>
    <n v="1.4870000000000001"/>
    <x v="15"/>
    <n v="0.45700000000000002"/>
    <n v="4.5999999999999999E-2"/>
    <n v="3.5999999999999997E-2"/>
  </r>
  <r>
    <n v="21"/>
    <x v="20"/>
    <n v="6.8250000000000002"/>
    <x v="20"/>
    <n v="1.31"/>
    <x v="16"/>
    <n v="0.59799999999999998"/>
    <n v="0.26200000000000001"/>
    <n v="0.182"/>
  </r>
  <r>
    <n v="22"/>
    <x v="21"/>
    <n v="6.726"/>
    <x v="21"/>
    <n v="1.52"/>
    <x v="4"/>
    <n v="0.56399999999999995"/>
    <n v="0.375"/>
    <n v="0.151"/>
  </r>
  <r>
    <n v="23"/>
    <x v="22"/>
    <n v="6.5949999999999998"/>
    <x v="22"/>
    <n v="1.323"/>
    <x v="17"/>
    <n v="0.433"/>
    <n v="7.3999999999999996E-2"/>
    <n v="7.2999999999999995E-2"/>
  </r>
  <r>
    <n v="24"/>
    <x v="23"/>
    <n v="6.5919999999999996"/>
    <x v="23"/>
    <n v="1.472"/>
    <x v="18"/>
    <n v="0.436"/>
    <n v="0.111"/>
    <n v="0.183"/>
  </r>
  <r>
    <n v="25"/>
    <x v="24"/>
    <n v="6.4459999999999997"/>
    <x v="24"/>
    <n v="1.43"/>
    <x v="19"/>
    <n v="0.35099999999999998"/>
    <n v="0.24199999999999999"/>
    <n v="9.7000000000000003E-2"/>
  </r>
  <r>
    <n v="26"/>
    <x v="25"/>
    <n v="6.444"/>
    <x v="25"/>
    <n v="1.369"/>
    <x v="15"/>
    <n v="0.35699999999999998"/>
    <n v="0.187"/>
    <n v="5.6000000000000001E-2"/>
  </r>
  <r>
    <n v="27"/>
    <x v="26"/>
    <n v="6.4359999999999999"/>
    <x v="26"/>
    <n v="1.2689999999999999"/>
    <x v="20"/>
    <n v="0.53500000000000003"/>
    <n v="0.17499999999999999"/>
    <n v="7.8E-2"/>
  </r>
  <r>
    <n v="28"/>
    <x v="27"/>
    <n v="6.375"/>
    <x v="27"/>
    <n v="1.357"/>
    <x v="21"/>
    <n v="0.439"/>
    <n v="0.08"/>
    <n v="0.13200000000000001"/>
  </r>
  <r>
    <n v="29"/>
    <x v="28"/>
    <n v="6.3739999999999997"/>
    <x v="28"/>
    <n v="1.3129999999999999"/>
    <x v="22"/>
    <n v="0.55500000000000005"/>
    <n v="0.22"/>
    <n v="0.16700000000000001"/>
  </r>
  <r>
    <n v="30"/>
    <x v="29"/>
    <n v="6.3540000000000001"/>
    <x v="29"/>
    <n v="1.484"/>
    <x v="23"/>
    <n v="0.36199999999999999"/>
    <n v="0.153"/>
    <n v="7.9000000000000001E-2"/>
  </r>
  <r>
    <n v="31"/>
    <x v="30"/>
    <n v="6.3209999999999997"/>
    <x v="30"/>
    <n v="1.4419999999999999"/>
    <x v="24"/>
    <n v="0.51600000000000001"/>
    <n v="0.109"/>
    <n v="5.3999999999999999E-2"/>
  </r>
  <r>
    <n v="32"/>
    <x v="31"/>
    <n v="6.3"/>
    <x v="31"/>
    <n v="1.4390000000000001"/>
    <x v="25"/>
    <n v="0.39"/>
    <n v="9.9000000000000005E-2"/>
    <n v="8.5999999999999993E-2"/>
  </r>
  <r>
    <n v="33"/>
    <x v="32"/>
    <n v="6.2930000000000001"/>
    <x v="32"/>
    <n v="1.4650000000000001"/>
    <x v="26"/>
    <n v="0.52300000000000002"/>
    <n v="0.127"/>
    <n v="0.15"/>
  </r>
  <r>
    <n v="34"/>
    <x v="33"/>
    <n v="6.2619999999999996"/>
    <x v="33"/>
    <n v="1.4630000000000001"/>
    <x v="27"/>
    <n v="0.55600000000000005"/>
    <n v="0.27100000000000002"/>
    <n v="0.45300000000000001"/>
  </r>
  <r>
    <n v="35"/>
    <x v="34"/>
    <n v="6.2530000000000001"/>
    <x v="34"/>
    <n v="1.242"/>
    <x v="28"/>
    <n v="0.43"/>
    <n v="9.2999999999999999E-2"/>
    <n v="7.3999999999999996E-2"/>
  </r>
  <r>
    <n v="36"/>
    <x v="35"/>
    <n v="6.2229999999999999"/>
    <x v="35"/>
    <n v="1.488"/>
    <x v="7"/>
    <n v="0.23100000000000001"/>
    <n v="0.158"/>
    <n v="0.03"/>
  </r>
  <r>
    <n v="37"/>
    <x v="36"/>
    <n v="6.1989999999999998"/>
    <x v="36"/>
    <n v="1.3680000000000001"/>
    <x v="22"/>
    <n v="0.53600000000000003"/>
    <n v="0.255"/>
    <n v="0.11"/>
  </r>
  <r>
    <n v="38"/>
    <x v="37"/>
    <n v="6.1980000000000004"/>
    <x v="37"/>
    <n v="1.504"/>
    <x v="29"/>
    <n v="0.33400000000000002"/>
    <n v="0.121"/>
    <n v="1.4E-2"/>
  </r>
  <r>
    <n v="39"/>
    <x v="38"/>
    <n v="6.1920000000000002"/>
    <x v="38"/>
    <n v="1.4770000000000001"/>
    <x v="30"/>
    <n v="0.48899999999999999"/>
    <n v="0.185"/>
    <n v="1.6E-2"/>
  </r>
  <r>
    <n v="40"/>
    <x v="39"/>
    <n v="6.1820000000000004"/>
    <x v="39"/>
    <n v="1.4379999999999999"/>
    <x v="31"/>
    <n v="0.48299999999999998"/>
    <n v="0.11700000000000001"/>
    <n v="0.05"/>
  </r>
  <r>
    <n v="41"/>
    <x v="40"/>
    <n v="6.1740000000000004"/>
    <x v="40"/>
    <n v="1.5289999999999999"/>
    <x v="32"/>
    <n v="0.63100000000000001"/>
    <n v="0.32200000000000001"/>
    <n v="0.24"/>
  </r>
  <r>
    <n v="42"/>
    <x v="41"/>
    <n v="6.149"/>
    <x v="41"/>
    <n v="1.5149999999999999"/>
    <x v="33"/>
    <n v="0.29099999999999998"/>
    <n v="4.2999999999999997E-2"/>
    <n v="4.2000000000000003E-2"/>
  </r>
  <r>
    <n v="43"/>
    <x v="42"/>
    <n v="6.125"/>
    <x v="42"/>
    <n v="1.41"/>
    <x v="34"/>
    <n v="0.47"/>
    <n v="9.9000000000000005E-2"/>
    <n v="3.4000000000000002E-2"/>
  </r>
  <r>
    <n v="44"/>
    <x v="43"/>
    <n v="6.1180000000000003"/>
    <x v="43"/>
    <n v="1.5229999999999999"/>
    <x v="35"/>
    <n v="0.56399999999999995"/>
    <n v="0.14399999999999999"/>
    <n v="5.7000000000000002E-2"/>
  </r>
  <r>
    <n v="45"/>
    <x v="44"/>
    <n v="6.1050000000000004"/>
    <x v="44"/>
    <n v="1.325"/>
    <x v="36"/>
    <n v="0.435"/>
    <n v="0.2"/>
    <n v="0.127"/>
  </r>
  <r>
    <n v="46"/>
    <x v="45"/>
    <n v="6.1"/>
    <x v="45"/>
    <n v="1.232"/>
    <x v="37"/>
    <n v="0.48899999999999999"/>
    <n v="0.26200000000000001"/>
    <n v="6.0000000000000001E-3"/>
  </r>
  <r>
    <n v="47"/>
    <x v="46"/>
    <n v="6.0860000000000003"/>
    <x v="46"/>
    <n v="1.4319999999999999"/>
    <x v="29"/>
    <n v="0.47099999999999997"/>
    <n v="6.6000000000000003E-2"/>
    <n v="0.05"/>
  </r>
  <r>
    <n v="48"/>
    <x v="47"/>
    <n v="6.07"/>
    <x v="47"/>
    <n v="1.232"/>
    <x v="16"/>
    <n v="0.46200000000000002"/>
    <n v="8.3000000000000004E-2"/>
    <n v="5.0000000000000001E-3"/>
  </r>
  <r>
    <n v="49"/>
    <x v="48"/>
    <n v="6.0460000000000003"/>
    <x v="48"/>
    <n v="1.2230000000000001"/>
    <x v="38"/>
    <n v="0.40600000000000003"/>
    <n v="0.19"/>
    <n v="4.1000000000000002E-2"/>
  </r>
  <r>
    <n v="50"/>
    <x v="49"/>
    <n v="6.0279999999999996"/>
    <x v="49"/>
    <n v="1.3120000000000001"/>
    <x v="39"/>
    <n v="0.498"/>
    <n v="0.126"/>
    <n v="8.6999999999999994E-2"/>
  </r>
  <r>
    <n v="51"/>
    <x v="50"/>
    <n v="6.0209999999999999"/>
    <x v="50"/>
    <n v="1.319"/>
    <x v="40"/>
    <n v="0.49299999999999999"/>
    <n v="0.14199999999999999"/>
    <n v="9.7000000000000003E-2"/>
  </r>
  <r>
    <n v="52"/>
    <x v="51"/>
    <n v="6.008"/>
    <x v="51"/>
    <n v="1.409"/>
    <x v="41"/>
    <n v="0.55700000000000005"/>
    <n v="0.35899999999999999"/>
    <n v="2.8000000000000001E-2"/>
  </r>
  <r>
    <n v="53"/>
    <x v="52"/>
    <n v="5.94"/>
    <x v="52"/>
    <n v="1.4650000000000001"/>
    <x v="42"/>
    <n v="0.26400000000000001"/>
    <n v="7.4999999999999997E-2"/>
    <n v="6.4000000000000001E-2"/>
  </r>
  <r>
    <n v="54"/>
    <x v="53"/>
    <n v="5.8949999999999996"/>
    <x v="53"/>
    <n v="1.2190000000000001"/>
    <x v="9"/>
    <n v="0.159"/>
    <n v="0.17499999999999999"/>
    <n v="5.6000000000000001E-2"/>
  </r>
  <r>
    <n v="55"/>
    <x v="54"/>
    <n v="5.8929999999999998"/>
    <x v="54"/>
    <n v="1.528"/>
    <x v="14"/>
    <n v="0.495"/>
    <n v="0.10299999999999999"/>
    <n v="0.161"/>
  </r>
  <r>
    <n v="56"/>
    <x v="55"/>
    <n v="5.89"/>
    <x v="55"/>
    <n v="1.478"/>
    <x v="43"/>
    <n v="0.49"/>
    <n v="0.107"/>
    <n v="2.8000000000000001E-2"/>
  </r>
  <r>
    <n v="57"/>
    <x v="56"/>
    <n v="5.8879999999999999"/>
    <x v="56"/>
    <n v="1.4019999999999999"/>
    <x v="44"/>
    <n v="0.498"/>
    <n v="0.215"/>
    <n v="0.06"/>
  </r>
  <r>
    <n v="58"/>
    <x v="57"/>
    <n v="5.8860000000000001"/>
    <x v="57"/>
    <n v="1.419"/>
    <x v="45"/>
    <n v="0.44500000000000001"/>
    <n v="6.9000000000000006E-2"/>
    <n v="0.14000000000000001"/>
  </r>
  <r>
    <n v="59"/>
    <x v="58"/>
    <n v="5.86"/>
    <x v="58"/>
    <n v="1.236"/>
    <x v="41"/>
    <n v="0.50700000000000001"/>
    <n v="0.246"/>
    <n v="7.8E-2"/>
  </r>
  <r>
    <n v="60"/>
    <x v="59"/>
    <n v="5.8090000000000002"/>
    <x v="59"/>
    <n v="1.508"/>
    <x v="46"/>
    <n v="0.41"/>
    <n v="0.14599999999999999"/>
    <n v="9.6000000000000002E-2"/>
  </r>
  <r>
    <n v="61"/>
    <x v="60"/>
    <n v="5.7789999999999999"/>
    <x v="60"/>
    <n v="1.2090000000000001"/>
    <x v="47"/>
    <n v="0.51100000000000001"/>
    <n v="0.13700000000000001"/>
    <n v="6.4000000000000001E-2"/>
  </r>
  <r>
    <n v="62"/>
    <x v="61"/>
    <n v="5.758"/>
    <x v="61"/>
    <n v="1.41"/>
    <x v="41"/>
    <n v="0.19900000000000001"/>
    <n v="8.1000000000000003E-2"/>
    <n v="0.02"/>
  </r>
  <r>
    <n v="63"/>
    <x v="62"/>
    <n v="5.7430000000000003"/>
    <x v="62"/>
    <n v="1.4750000000000001"/>
    <x v="48"/>
    <n v="0.51400000000000001"/>
    <n v="0.184"/>
    <n v="0.08"/>
  </r>
  <r>
    <n v="64"/>
    <x v="63"/>
    <n v="5.718"/>
    <x v="48"/>
    <n v="1.252"/>
    <x v="38"/>
    <n v="0.41699999999999998"/>
    <n v="0.191"/>
    <n v="0.16200000000000001"/>
  </r>
  <r>
    <n v="65"/>
    <x v="64"/>
    <n v="5.6970000000000001"/>
    <x v="63"/>
    <n v="1.274"/>
    <x v="49"/>
    <n v="0.45500000000000002"/>
    <n v="8.3000000000000004E-2"/>
    <n v="2.7E-2"/>
  </r>
  <r>
    <n v="66"/>
    <x v="65"/>
    <n v="5.6929999999999996"/>
    <x v="64"/>
    <n v="1.431"/>
    <x v="4"/>
    <n v="0.50800000000000001"/>
    <n v="4.7E-2"/>
    <n v="2.5000000000000001E-2"/>
  </r>
  <r>
    <n v="67"/>
    <x v="66"/>
    <n v="5.6529999999999996"/>
    <x v="65"/>
    <n v="0.88600000000000001"/>
    <x v="50"/>
    <n v="0.313"/>
    <n v="0.22"/>
    <n v="9.8000000000000004E-2"/>
  </r>
  <r>
    <n v="68"/>
    <x v="67"/>
    <n v="5.6479999999999997"/>
    <x v="66"/>
    <n v="1.452"/>
    <x v="51"/>
    <n v="0.33400000000000002"/>
    <n v="8.2000000000000003E-2"/>
    <n v="3.1E-2"/>
  </r>
  <r>
    <n v="69"/>
    <x v="68"/>
    <n v="5.6310000000000002"/>
    <x v="67"/>
    <n v="1.2929999999999999"/>
    <x v="52"/>
    <n v="0.55800000000000005"/>
    <n v="0.11700000000000001"/>
    <n v="0.107"/>
  </r>
  <r>
    <n v="70"/>
    <x v="69"/>
    <n v="5.6029999999999998"/>
    <x v="31"/>
    <n v="1.383"/>
    <x v="49"/>
    <n v="0.28199999999999997"/>
    <n v="0.13700000000000001"/>
    <n v="3.9E-2"/>
  </r>
  <r>
    <n v="71"/>
    <x v="70"/>
    <n v="5.5289999999999999"/>
    <x v="68"/>
    <n v="1.3280000000000001"/>
    <x v="53"/>
    <n v="0.245"/>
    <n v="0.18099999999999999"/>
    <n v="0"/>
  </r>
  <r>
    <n v="72"/>
    <x v="71"/>
    <n v="5.5250000000000004"/>
    <x v="69"/>
    <n v="1.3029999999999999"/>
    <x v="54"/>
    <n v="0.41599999999999998"/>
    <n v="0.13300000000000001"/>
    <n v="0.152"/>
  </r>
  <r>
    <n v="73"/>
    <x v="72"/>
    <n v="5.5229999999999997"/>
    <x v="70"/>
    <n v="1.361"/>
    <x v="22"/>
    <n v="0.19700000000000001"/>
    <n v="0.14199999999999999"/>
    <n v="0.08"/>
  </r>
  <r>
    <n v="74"/>
    <x v="73"/>
    <n v="5.4669999999999996"/>
    <x v="71"/>
    <n v="1.0980000000000001"/>
    <x v="55"/>
    <n v="0.38900000000000001"/>
    <n v="0.23"/>
    <n v="0.14399999999999999"/>
  </r>
  <r>
    <n v="75"/>
    <x v="74"/>
    <n v="5.4320000000000004"/>
    <x v="72"/>
    <n v="1.266"/>
    <x v="19"/>
    <n v="0.29599999999999999"/>
    <n v="0.11899999999999999"/>
    <n v="2.1999999999999999E-2"/>
  </r>
  <r>
    <n v="76"/>
    <x v="75"/>
    <n v="5.43"/>
    <x v="73"/>
    <n v="1.2769999999999999"/>
    <x v="56"/>
    <n v="0.44"/>
    <n v="0.25800000000000001"/>
    <n v="0.28699999999999998"/>
  </r>
  <r>
    <n v="77"/>
    <x v="76"/>
    <n v="5.4249999999999998"/>
    <x v="74"/>
    <n v="1.401"/>
    <x v="57"/>
    <n v="0.497"/>
    <n v="0.113"/>
    <n v="0.10100000000000001"/>
  </r>
  <r>
    <n v="78"/>
    <x v="77"/>
    <n v="5.3860000000000001"/>
    <x v="75"/>
    <n v="1.212"/>
    <x v="58"/>
    <n v="0.21199999999999999"/>
    <n v="0.26300000000000001"/>
    <n v="6.0000000000000001E-3"/>
  </r>
  <r>
    <n v="79"/>
    <x v="78"/>
    <n v="5.3730000000000002"/>
    <x v="66"/>
    <n v="1.36"/>
    <x v="40"/>
    <n v="0.19500000000000001"/>
    <n v="8.3000000000000004E-2"/>
    <n v="0.106"/>
  </r>
  <r>
    <n v="80"/>
    <x v="79"/>
    <n v="5.3390000000000004"/>
    <x v="64"/>
    <n v="1.171"/>
    <x v="41"/>
    <n v="0.50800000000000001"/>
    <n v="0.26"/>
    <n v="2.4E-2"/>
  </r>
  <r>
    <n v="81"/>
    <x v="80"/>
    <n v="5.3230000000000004"/>
    <x v="76"/>
    <n v="1.4650000000000001"/>
    <x v="28"/>
    <n v="0.23499999999999999"/>
    <n v="9.4E-2"/>
    <n v="0.14199999999999999"/>
  </r>
  <r>
    <n v="82"/>
    <x v="81"/>
    <n v="5.2869999999999999"/>
    <x v="77"/>
    <n v="1.1559999999999999"/>
    <x v="4"/>
    <n v="6.7000000000000004E-2"/>
    <n v="0"/>
    <n v="3.4000000000000002E-2"/>
  </r>
  <r>
    <n v="83"/>
    <x v="82"/>
    <n v="5.2850000000000001"/>
    <x v="78"/>
    <n v="1.5309999999999999"/>
    <x v="59"/>
    <n v="0.317"/>
    <n v="0.23499999999999999"/>
    <n v="3.7999999999999999E-2"/>
  </r>
  <r>
    <n v="84"/>
    <x v="83"/>
    <n v="5.274"/>
    <x v="79"/>
    <n v="1.294"/>
    <x v="60"/>
    <n v="0.34499999999999997"/>
    <n v="0.185"/>
    <n v="3.4000000000000002E-2"/>
  </r>
  <r>
    <n v="85"/>
    <x v="84"/>
    <n v="5.2649999999999997"/>
    <x v="80"/>
    <n v="1.111"/>
    <x v="61"/>
    <n v="0.42599999999999999"/>
    <n v="0.215"/>
    <n v="4.1000000000000002E-2"/>
  </r>
  <r>
    <n v="86"/>
    <x v="85"/>
    <n v="5.2610000000000001"/>
    <x v="81"/>
    <n v="1.4379999999999999"/>
    <x v="62"/>
    <n v="0.50800000000000001"/>
    <n v="0.3"/>
    <n v="2.3E-2"/>
  </r>
  <r>
    <n v="87"/>
    <x v="86"/>
    <n v="5.2469999999999999"/>
    <x v="82"/>
    <n v="1.538"/>
    <x v="52"/>
    <n v="0.39400000000000002"/>
    <n v="0.24399999999999999"/>
    <n v="2.8000000000000001E-2"/>
  </r>
  <r>
    <n v="88"/>
    <x v="87"/>
    <n v="5.2110000000000003"/>
    <x v="83"/>
    <n v="1.1599999999999999"/>
    <x v="63"/>
    <n v="8.5999999999999993E-2"/>
    <n v="7.2999999999999995E-2"/>
    <n v="0.114"/>
  </r>
  <r>
    <n v="89"/>
    <x v="88"/>
    <n v="5.2080000000000002"/>
    <x v="84"/>
    <n v="0.78200000000000003"/>
    <x v="64"/>
    <n v="0.41799999999999998"/>
    <n v="3.5999999999999997E-2"/>
    <n v="7.5999999999999998E-2"/>
  </r>
  <r>
    <n v="90"/>
    <x v="89"/>
    <n v="5.2080000000000002"/>
    <x v="85"/>
    <n v="1.147"/>
    <x v="65"/>
    <n v="0.35099999999999998"/>
    <n v="3.5000000000000003E-2"/>
    <n v="0.182"/>
  </r>
  <r>
    <n v="91"/>
    <x v="90"/>
    <n v="5.1970000000000001"/>
    <x v="86"/>
    <n v="1.224"/>
    <x v="66"/>
    <n v="0.216"/>
    <n v="0.16600000000000001"/>
    <n v="2.7E-2"/>
  </r>
  <r>
    <n v="92"/>
    <x v="91"/>
    <n v="5.1920000000000002"/>
    <x v="87"/>
    <n v="1.2030000000000001"/>
    <x v="67"/>
    <n v="0.49099999999999999"/>
    <n v="0.498"/>
    <n v="2.8000000000000001E-2"/>
  </r>
  <r>
    <n v="93"/>
    <x v="92"/>
    <n v="5.1909999999999998"/>
    <x v="88"/>
    <n v="1.125"/>
    <x v="68"/>
    <n v="0.52100000000000002"/>
    <n v="5.8000000000000003E-2"/>
    <n v="0.1"/>
  </r>
  <r>
    <n v="94"/>
    <x v="93"/>
    <n v="5.1749999999999998"/>
    <x v="89"/>
    <n v="1.3460000000000001"/>
    <x v="69"/>
    <n v="0.54300000000000004"/>
    <n v="0.14699999999999999"/>
    <n v="7.2999999999999995E-2"/>
  </r>
  <r>
    <n v="95"/>
    <x v="94"/>
    <n v="5.0819999999999999"/>
    <x v="90"/>
    <n v="1.321"/>
    <x v="70"/>
    <n v="0.45700000000000002"/>
    <n v="0.37"/>
    <n v="0.16700000000000001"/>
  </r>
  <r>
    <n v="96"/>
    <x v="95"/>
    <n v="5.0439999999999996"/>
    <x v="91"/>
    <n v="0.91"/>
    <x v="71"/>
    <n v="0.38100000000000001"/>
    <n v="0.187"/>
    <n v="3.6999999999999998E-2"/>
  </r>
  <r>
    <n v="97"/>
    <x v="96"/>
    <n v="5.0110000000000001"/>
    <x v="46"/>
    <n v="1.5129999999999999"/>
    <x v="66"/>
    <n v="0.311"/>
    <n v="8.1000000000000003E-2"/>
    <n v="4.0000000000000001E-3"/>
  </r>
  <r>
    <n v="98"/>
    <x v="97"/>
    <n v="4.9960000000000004"/>
    <x v="92"/>
    <n v="0.86799999999999999"/>
    <x v="72"/>
    <n v="0.38100000000000001"/>
    <n v="0.245"/>
    <n v="0.04"/>
  </r>
  <r>
    <n v="99"/>
    <x v="98"/>
    <n v="4.944"/>
    <x v="93"/>
    <n v="0.80800000000000005"/>
    <x v="73"/>
    <n v="0.35199999999999998"/>
    <n v="0.154"/>
    <n v="0.09"/>
  </r>
  <r>
    <n v="100"/>
    <x v="99"/>
    <n v="4.9130000000000003"/>
    <x v="94"/>
    <n v="1.226"/>
    <x v="74"/>
    <n v="0.439"/>
    <n v="0.28499999999999998"/>
    <n v="8.8999999999999996E-2"/>
  </r>
  <r>
    <n v="101"/>
    <x v="100"/>
    <n v="4.9059999999999997"/>
    <x v="95"/>
    <n v="1.2250000000000001"/>
    <x v="66"/>
    <n v="0.38300000000000001"/>
    <n v="0.11"/>
    <n v="0.13"/>
  </r>
  <r>
    <n v="102"/>
    <x v="101"/>
    <n v="4.883"/>
    <x v="96"/>
    <n v="0.437"/>
    <x v="75"/>
    <n v="0.34899999999999998"/>
    <n v="0.17499999999999999"/>
    <n v="8.2000000000000003E-2"/>
  </r>
  <r>
    <n v="103"/>
    <x v="102"/>
    <n v="4.8120000000000003"/>
    <x v="97"/>
    <n v="0.79900000000000004"/>
    <x v="76"/>
    <n v="0.372"/>
    <n v="0.105"/>
    <n v="9.2999999999999999E-2"/>
  </r>
  <r>
    <n v="104"/>
    <x v="103"/>
    <n v="4.7990000000000004"/>
    <x v="98"/>
    <n v="1.1830000000000001"/>
    <x v="77"/>
    <n v="0.29499999999999998"/>
    <n v="4.2999999999999997E-2"/>
    <n v="5.5E-2"/>
  </r>
  <r>
    <n v="105"/>
    <x v="104"/>
    <n v="4.7960000000000003"/>
    <x v="99"/>
    <n v="1.03"/>
    <x v="78"/>
    <n v="0.54700000000000004"/>
    <n v="0.26600000000000001"/>
    <n v="0.16400000000000001"/>
  </r>
  <r>
    <n v="106"/>
    <x v="105"/>
    <n v="4.7220000000000004"/>
    <x v="63"/>
    <n v="1.351"/>
    <x v="79"/>
    <n v="0.38900000000000001"/>
    <n v="0.13"/>
    <n v="5.5E-2"/>
  </r>
  <r>
    <n v="107"/>
    <x v="106"/>
    <n v="4.7190000000000003"/>
    <x v="100"/>
    <n v="0.84799999999999998"/>
    <x v="14"/>
    <n v="0.38300000000000001"/>
    <n v="0.17799999999999999"/>
    <n v="2.7E-2"/>
  </r>
  <r>
    <n v="108"/>
    <x v="107"/>
    <n v="4.7069999999999999"/>
    <x v="63"/>
    <n v="1.427"/>
    <x v="80"/>
    <n v="0.154"/>
    <n v="6.4000000000000001E-2"/>
    <n v="4.7E-2"/>
  </r>
  <r>
    <n v="109"/>
    <x v="108"/>
    <n v="4.7"/>
    <x v="101"/>
    <n v="1.1220000000000001"/>
    <x v="81"/>
    <n v="0.60899999999999999"/>
    <n v="0.23200000000000001"/>
    <n v="6.2E-2"/>
  </r>
  <r>
    <n v="110"/>
    <x v="109"/>
    <n v="4.6959999999999997"/>
    <x v="102"/>
    <n v="1.2470000000000001"/>
    <x v="82"/>
    <n v="0.22500000000000001"/>
    <n v="0.10299999999999999"/>
    <n v="6.6000000000000003E-2"/>
  </r>
  <r>
    <n v="111"/>
    <x v="110"/>
    <n v="4.681"/>
    <x v="103"/>
    <n v="1.1339999999999999"/>
    <x v="77"/>
    <n v="0.29199999999999998"/>
    <n v="0.153"/>
    <n v="7.1999999999999995E-2"/>
  </r>
  <r>
    <n v="112"/>
    <x v="111"/>
    <n v="4.6680000000000001"/>
    <x v="104"/>
    <n v="0.69799999999999995"/>
    <x v="83"/>
    <n v="0.55900000000000005"/>
    <n v="0.24299999999999999"/>
    <n v="0.27"/>
  </r>
  <r>
    <n v="113"/>
    <x v="112"/>
    <n v="4.6390000000000002"/>
    <x v="105"/>
    <n v="1.3129999999999999"/>
    <x v="84"/>
    <n v="0.40100000000000002"/>
    <n v="7.0000000000000007E-2"/>
    <n v="5.6000000000000001E-2"/>
  </r>
  <r>
    <n v="114"/>
    <x v="113"/>
    <n v="4.6280000000000001"/>
    <x v="106"/>
    <n v="0.77400000000000002"/>
    <x v="85"/>
    <n v="0.318"/>
    <n v="0.188"/>
    <n v="0.10199999999999999"/>
  </r>
  <r>
    <n v="115"/>
    <x v="114"/>
    <n v="4.5869999999999997"/>
    <x v="107"/>
    <n v="1.056"/>
    <x v="86"/>
    <n v="0.255"/>
    <n v="0.17699999999999999"/>
    <n v="0.113"/>
  </r>
  <r>
    <n v="116"/>
    <x v="115"/>
    <n v="4.5590000000000002"/>
    <x v="108"/>
    <n v="1.0549999999999999"/>
    <x v="66"/>
    <n v="0.28299999999999997"/>
    <n v="9.5000000000000001E-2"/>
    <n v="6.4000000000000001E-2"/>
  </r>
  <r>
    <n v="117"/>
    <x v="116"/>
    <n v="4.548"/>
    <x v="109"/>
    <n v="0.84199999999999997"/>
    <x v="63"/>
    <n v="0.30499999999999999"/>
    <n v="0.27"/>
    <n v="0.125"/>
  </r>
  <r>
    <n v="118"/>
    <x v="117"/>
    <n v="4.5339999999999998"/>
    <x v="110"/>
    <n v="0.82899999999999996"/>
    <x v="87"/>
    <n v="0.33200000000000002"/>
    <n v="0.20699999999999999"/>
    <n v="8.5999999999999993E-2"/>
  </r>
  <r>
    <n v="119"/>
    <x v="118"/>
    <n v="4.5190000000000001"/>
    <x v="111"/>
    <n v="0.66600000000000004"/>
    <x v="88"/>
    <n v="0.34599999999999997"/>
    <n v="4.2999999999999997E-2"/>
    <n v="0.16400000000000001"/>
  </r>
  <r>
    <n v="120"/>
    <x v="119"/>
    <n v="4.516"/>
    <x v="112"/>
    <n v="0.93899999999999995"/>
    <x v="89"/>
    <n v="0.38200000000000001"/>
    <n v="0.26900000000000002"/>
    <n v="0.16700000000000001"/>
  </r>
  <r>
    <n v="121"/>
    <x v="120"/>
    <n v="4.5090000000000003"/>
    <x v="113"/>
    <n v="0.98299999999999998"/>
    <x v="90"/>
    <n v="0.43099999999999999"/>
    <n v="0.372"/>
    <n v="5.2999999999999999E-2"/>
  </r>
  <r>
    <n v="122"/>
    <x v="121"/>
    <n v="4.49"/>
    <x v="114"/>
    <n v="1.167"/>
    <x v="91"/>
    <n v="6.6000000000000003E-2"/>
    <n v="0.106"/>
    <n v="8.7999999999999995E-2"/>
  </r>
  <r>
    <n v="123"/>
    <x v="122"/>
    <n v="4.4660000000000002"/>
    <x v="115"/>
    <n v="0.98599999999999999"/>
    <x v="92"/>
    <n v="0.49399999999999999"/>
    <n v="0.19700000000000001"/>
    <n v="0.13800000000000001"/>
  </r>
  <r>
    <n v="124"/>
    <x v="123"/>
    <n v="4.4610000000000003"/>
    <x v="116"/>
    <n v="1"/>
    <x v="66"/>
    <n v="0.16700000000000001"/>
    <n v="5.8999999999999997E-2"/>
    <n v="5.5E-2"/>
  </r>
  <r>
    <n v="125"/>
    <x v="124"/>
    <n v="4.4560000000000004"/>
    <x v="117"/>
    <n v="0.92800000000000005"/>
    <x v="62"/>
    <n v="0.52700000000000002"/>
    <n v="0.16600000000000001"/>
    <n v="0.14299999999999999"/>
  </r>
  <r>
    <n v="126"/>
    <x v="125"/>
    <n v="4.4370000000000003"/>
    <x v="85"/>
    <n v="0.98"/>
    <x v="93"/>
    <n v="0.24099999999999999"/>
    <n v="0.14799999999999999"/>
    <n v="8.8999999999999996E-2"/>
  </r>
  <r>
    <n v="127"/>
    <x v="126"/>
    <n v="4.4180000000000001"/>
    <x v="118"/>
    <n v="1.125"/>
    <x v="94"/>
    <n v="0.26900000000000002"/>
    <n v="0.21199999999999999"/>
    <n v="5.2999999999999999E-2"/>
  </r>
  <r>
    <n v="128"/>
    <x v="127"/>
    <n v="4.3899999999999997"/>
    <x v="119"/>
    <n v="1.105"/>
    <x v="95"/>
    <n v="0.32700000000000001"/>
    <n v="0.153"/>
    <n v="5.1999999999999998E-2"/>
  </r>
  <r>
    <n v="129"/>
    <x v="128"/>
    <n v="4.3739999999999997"/>
    <x v="120"/>
    <n v="0.84099999999999997"/>
    <x v="96"/>
    <n v="0.309"/>
    <n v="0.252"/>
    <n v="4.4999999999999998E-2"/>
  </r>
  <r>
    <n v="130"/>
    <x v="129"/>
    <n v="4.3659999999999997"/>
    <x v="121"/>
    <n v="1.2649999999999999"/>
    <x v="43"/>
    <n v="0.47"/>
    <n v="0.24399999999999999"/>
    <n v="4.7E-2"/>
  </r>
  <r>
    <n v="131"/>
    <x v="130"/>
    <n v="4.3600000000000003"/>
    <x v="122"/>
    <n v="1.181"/>
    <x v="97"/>
    <n v="0.52500000000000002"/>
    <n v="0.56599999999999995"/>
    <n v="0.17199999999999999"/>
  </r>
  <r>
    <n v="132"/>
    <x v="131"/>
    <n v="4.3499999999999996"/>
    <x v="123"/>
    <n v="0.76600000000000001"/>
    <x v="98"/>
    <n v="0.17399999999999999"/>
    <n v="0.19800000000000001"/>
    <n v="7.8E-2"/>
  </r>
  <r>
    <n v="133"/>
    <x v="132"/>
    <n v="4.3319999999999999"/>
    <x v="124"/>
    <n v="1.39"/>
    <x v="53"/>
    <n v="0.17799999999999999"/>
    <n v="0.187"/>
    <n v="0.01"/>
  </r>
  <r>
    <n v="134"/>
    <x v="133"/>
    <n v="4.2859999999999996"/>
    <x v="125"/>
    <n v="1.0329999999999999"/>
    <x v="99"/>
    <n v="0.34399999999999997"/>
    <n v="0.20899999999999999"/>
    <n v="0.1"/>
  </r>
  <r>
    <n v="135"/>
    <x v="134"/>
    <n v="4.2119999999999997"/>
    <x v="126"/>
    <n v="1.149"/>
    <x v="100"/>
    <n v="0.313"/>
    <n v="7.3999999999999996E-2"/>
    <n v="0.13500000000000001"/>
  </r>
  <r>
    <n v="136"/>
    <x v="135"/>
    <n v="4.1890000000000001"/>
    <x v="127"/>
    <n v="1.069"/>
    <x v="101"/>
    <n v="0.35599999999999998"/>
    <n v="0.252"/>
    <n v="0.06"/>
  </r>
  <r>
    <n v="137"/>
    <x v="136"/>
    <n v="4.1660000000000004"/>
    <x v="128"/>
    <n v="1.0389999999999999"/>
    <x v="102"/>
    <n v="0.24099999999999999"/>
    <n v="7.5999999999999998E-2"/>
    <n v="6.7000000000000004E-2"/>
  </r>
  <r>
    <n v="138"/>
    <x v="137"/>
    <n v="4.1070000000000002"/>
    <x v="129"/>
    <n v="1.0580000000000001"/>
    <x v="103"/>
    <n v="0.43099999999999999"/>
    <n v="0.247"/>
    <n v="8.6999999999999994E-2"/>
  </r>
  <r>
    <n v="139"/>
    <x v="138"/>
    <n v="4.085"/>
    <x v="130"/>
    <n v="0.57199999999999995"/>
    <x v="104"/>
    <n v="0.29299999999999998"/>
    <n v="0.17699999999999999"/>
    <n v="8.5000000000000006E-2"/>
  </r>
  <r>
    <n v="140"/>
    <x v="139"/>
    <n v="4.0149999999999997"/>
    <x v="131"/>
    <n v="0.76500000000000001"/>
    <x v="105"/>
    <n v="0.498"/>
    <n v="0.2"/>
    <n v="8.5000000000000006E-2"/>
  </r>
  <r>
    <n v="141"/>
    <x v="140"/>
    <n v="3.9750000000000001"/>
    <x v="132"/>
    <n v="0.92200000000000004"/>
    <x v="101"/>
    <n v="0.37"/>
    <n v="0.23300000000000001"/>
    <n v="3.3000000000000002E-2"/>
  </r>
  <r>
    <n v="142"/>
    <x v="141"/>
    <n v="3.9729999999999999"/>
    <x v="133"/>
    <n v="0.75700000000000001"/>
    <x v="106"/>
    <n v="0.14199999999999999"/>
    <n v="0.27500000000000002"/>
    <n v="7.8E-2"/>
  </r>
  <r>
    <n v="143"/>
    <x v="142"/>
    <n v="3.9329999999999998"/>
    <x v="133"/>
    <n v="0.91600000000000004"/>
    <x v="97"/>
    <n v="0.14799999999999999"/>
    <n v="0.16900000000000001"/>
    <n v="4.1000000000000002E-2"/>
  </r>
  <r>
    <n v="144"/>
    <x v="143"/>
    <n v="3.802"/>
    <x v="134"/>
    <n v="1.169"/>
    <x v="107"/>
    <n v="0.35899999999999999"/>
    <n v="0.107"/>
    <n v="9.2999999999999999E-2"/>
  </r>
  <r>
    <n v="145"/>
    <x v="144"/>
    <n v="3.7749999999999999"/>
    <x v="135"/>
    <n v="0.44700000000000001"/>
    <x v="86"/>
    <n v="0.22"/>
    <n v="0.17599999999999999"/>
    <n v="0.18"/>
  </r>
  <r>
    <n v="146"/>
    <x v="145"/>
    <n v="3.6629999999999998"/>
    <x v="136"/>
    <n v="1.1140000000000001"/>
    <x v="108"/>
    <n v="0.36099999999999999"/>
    <n v="0.151"/>
    <n v="8.8999999999999996E-2"/>
  </r>
  <r>
    <n v="147"/>
    <x v="146"/>
    <n v="3.597"/>
    <x v="137"/>
    <n v="0.68799999999999994"/>
    <x v="109"/>
    <n v="2.5999999999999999E-2"/>
    <n v="0.41899999999999998"/>
    <n v="0.11"/>
  </r>
  <r>
    <n v="148"/>
    <x v="147"/>
    <n v="3.488"/>
    <x v="138"/>
    <n v="1.145"/>
    <x v="110"/>
    <n v="0.45500000000000002"/>
    <n v="2.5000000000000001E-2"/>
    <n v="0.1"/>
  </r>
  <r>
    <n v="149"/>
    <x v="148"/>
    <n v="3.4620000000000002"/>
    <x v="139"/>
    <n v="0.378"/>
    <x v="111"/>
    <n v="1.2999999999999999E-2"/>
    <n v="0.33100000000000002"/>
    <n v="0.14099999999999999"/>
  </r>
  <r>
    <n v="150"/>
    <x v="149"/>
    <n v="3.41"/>
    <x v="140"/>
    <n v="0.56000000000000005"/>
    <x v="112"/>
    <n v="0.443"/>
    <n v="0.218"/>
    <n v="8.8999999999999996E-2"/>
  </r>
  <r>
    <n v="151"/>
    <x v="150"/>
    <n v="3.38"/>
    <x v="141"/>
    <n v="1.163"/>
    <x v="113"/>
    <n v="0.14299999999999999"/>
    <n v="0.108"/>
    <n v="7.6999999999999999E-2"/>
  </r>
  <r>
    <n v="152"/>
    <x v="151"/>
    <n v="3.3340000000000001"/>
    <x v="142"/>
    <n v="0.71099999999999997"/>
    <x v="114"/>
    <n v="0.55500000000000005"/>
    <n v="0.217"/>
    <n v="0.41099999999999998"/>
  </r>
  <r>
    <n v="153"/>
    <x v="152"/>
    <n v="3.2309999999999999"/>
    <x v="143"/>
    <n v="0.88500000000000001"/>
    <x v="115"/>
    <n v="0.41699999999999998"/>
    <n v="0.27600000000000002"/>
    <n v="0.14699999999999999"/>
  </r>
  <r>
    <n v="154"/>
    <x v="153"/>
    <n v="3.2029999999999998"/>
    <x v="123"/>
    <n v="0.51700000000000002"/>
    <x v="116"/>
    <n v="0"/>
    <n v="0.158"/>
    <n v="2.5000000000000001E-2"/>
  </r>
  <r>
    <n v="155"/>
    <x v="154"/>
    <n v="3.0830000000000002"/>
    <x v="144"/>
    <n v="0"/>
    <x v="117"/>
    <n v="0.22500000000000001"/>
    <n v="0.23499999999999999"/>
    <n v="3.5000000000000003E-2"/>
  </r>
  <r>
    <n v="156"/>
    <x v="155"/>
    <n v="2.8530000000000002"/>
    <x v="145"/>
    <n v="0.57499999999999996"/>
    <x v="118"/>
    <n v="0.01"/>
    <n v="0.20200000000000001"/>
    <n v="9.099999999999999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60" firstHeaderRow="1" firstDataRow="1" firstDataCol="1"/>
  <pivotFields count="9">
    <pivotField showAll="0"/>
    <pivotField axis="axisRow" showAll="0" sortType="descending">
      <items count="157">
        <item x="153"/>
        <item x="106"/>
        <item x="87"/>
        <item x="46"/>
        <item x="115"/>
        <item x="10"/>
        <item x="9"/>
        <item x="89"/>
        <item x="36"/>
        <item x="124"/>
        <item x="80"/>
        <item x="17"/>
        <item x="101"/>
        <item x="94"/>
        <item x="60"/>
        <item x="77"/>
        <item x="147"/>
        <item x="31"/>
        <item x="96"/>
        <item x="114"/>
        <item x="144"/>
        <item x="108"/>
        <item x="95"/>
        <item x="8"/>
        <item x="154"/>
        <item x="131"/>
        <item x="25"/>
        <item x="92"/>
        <item x="42"/>
        <item x="141"/>
        <item x="102"/>
        <item x="126"/>
        <item x="11"/>
        <item x="74"/>
        <item x="48"/>
        <item x="19"/>
        <item x="1"/>
        <item x="76"/>
        <item x="49"/>
        <item x="136"/>
        <item x="34"/>
        <item x="54"/>
        <item x="133"/>
        <item x="0"/>
        <item x="23"/>
        <item x="103"/>
        <item x="119"/>
        <item x="118"/>
        <item x="16"/>
        <item x="97"/>
        <item x="81"/>
        <item x="26"/>
        <item x="117"/>
        <item x="146"/>
        <item x="58"/>
        <item x="75"/>
        <item x="61"/>
        <item x="3"/>
        <item x="139"/>
        <item x="91"/>
        <item x="116"/>
        <item x="125"/>
        <item x="15"/>
        <item x="12"/>
        <item x="35"/>
        <item x="98"/>
        <item x="55"/>
        <item x="57"/>
        <item x="100"/>
        <item x="59"/>
        <item x="120"/>
        <item x="45"/>
        <item x="50"/>
        <item x="85"/>
        <item x="104"/>
        <item x="52"/>
        <item x="90"/>
        <item x="143"/>
        <item x="140"/>
        <item x="71"/>
        <item x="41"/>
        <item x="13"/>
        <item x="142"/>
        <item x="149"/>
        <item x="79"/>
        <item x="127"/>
        <item x="21"/>
        <item x="121"/>
        <item x="56"/>
        <item x="22"/>
        <item x="70"/>
        <item x="82"/>
        <item x="72"/>
        <item x="88"/>
        <item x="122"/>
        <item x="130"/>
        <item x="112"/>
        <item x="99"/>
        <item x="4"/>
        <item x="7"/>
        <item x="44"/>
        <item x="113"/>
        <item x="84"/>
        <item x="83"/>
        <item x="63"/>
        <item x="2"/>
        <item x="66"/>
        <item x="109"/>
        <item x="30"/>
        <item x="62"/>
        <item x="64"/>
        <item x="68"/>
        <item x="39"/>
        <item x="65"/>
        <item x="28"/>
        <item x="47"/>
        <item x="67"/>
        <item x="151"/>
        <item x="27"/>
        <item x="110"/>
        <item x="69"/>
        <item x="128"/>
        <item x="33"/>
        <item x="37"/>
        <item x="43"/>
        <item x="111"/>
        <item x="105"/>
        <item x="53"/>
        <item x="155"/>
        <item x="29"/>
        <item x="129"/>
        <item x="134"/>
        <item x="6"/>
        <item x="5"/>
        <item x="148"/>
        <item x="24"/>
        <item x="73"/>
        <item x="152"/>
        <item x="51"/>
        <item x="138"/>
        <item x="38"/>
        <item x="123"/>
        <item x="78"/>
        <item x="86"/>
        <item x="135"/>
        <item x="132"/>
        <item x="20"/>
        <item x="14"/>
        <item x="18"/>
        <item x="32"/>
        <item x="40"/>
        <item x="107"/>
        <item x="93"/>
        <item x="150"/>
        <item x="137"/>
        <item x="1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7">
    <i>
      <x v="43"/>
    </i>
    <i>
      <x v="36"/>
    </i>
    <i>
      <x v="105"/>
    </i>
    <i>
      <x v="57"/>
    </i>
    <i>
      <x v="98"/>
    </i>
    <i>
      <x v="133"/>
    </i>
    <i>
      <x v="132"/>
    </i>
    <i>
      <x v="99"/>
    </i>
    <i>
      <x v="23"/>
    </i>
    <i>
      <x v="6"/>
    </i>
    <i>
      <x v="5"/>
    </i>
    <i>
      <x v="32"/>
    </i>
    <i>
      <x v="63"/>
    </i>
    <i>
      <x v="81"/>
    </i>
    <i>
      <x v="147"/>
    </i>
    <i>
      <x v="62"/>
    </i>
    <i>
      <x v="48"/>
    </i>
    <i>
      <x v="11"/>
    </i>
    <i>
      <x v="148"/>
    </i>
    <i>
      <x v="35"/>
    </i>
    <i>
      <x v="146"/>
    </i>
    <i>
      <x v="86"/>
    </i>
    <i>
      <x v="89"/>
    </i>
    <i>
      <x v="44"/>
    </i>
    <i>
      <x v="135"/>
    </i>
    <i>
      <x v="26"/>
    </i>
    <i>
      <x v="51"/>
    </i>
    <i>
      <x v="118"/>
    </i>
    <i>
      <x v="114"/>
    </i>
    <i>
      <x v="129"/>
    </i>
    <i>
      <x v="108"/>
    </i>
    <i>
      <x v="17"/>
    </i>
    <i>
      <x v="149"/>
    </i>
    <i>
      <x v="122"/>
    </i>
    <i>
      <x v="40"/>
    </i>
    <i>
      <x v="64"/>
    </i>
    <i>
      <x v="8"/>
    </i>
    <i>
      <x v="123"/>
    </i>
    <i>
      <x v="140"/>
    </i>
    <i>
      <x v="112"/>
    </i>
    <i>
      <x v="150"/>
    </i>
    <i>
      <x v="80"/>
    </i>
    <i>
      <x v="28"/>
    </i>
    <i>
      <x v="124"/>
    </i>
    <i>
      <x v="100"/>
    </i>
    <i>
      <x v="71"/>
    </i>
    <i>
      <x v="3"/>
    </i>
    <i>
      <x v="115"/>
    </i>
    <i>
      <x v="34"/>
    </i>
    <i>
      <x v="38"/>
    </i>
    <i>
      <x v="72"/>
    </i>
    <i>
      <x v="138"/>
    </i>
    <i>
      <x v="75"/>
    </i>
    <i>
      <x v="127"/>
    </i>
    <i>
      <x v="41"/>
    </i>
    <i>
      <x v="66"/>
    </i>
    <i>
      <x v="88"/>
    </i>
    <i>
      <x v="67"/>
    </i>
    <i>
      <x v="54"/>
    </i>
    <i>
      <x v="69"/>
    </i>
    <i>
      <x v="14"/>
    </i>
    <i>
      <x v="56"/>
    </i>
    <i>
      <x v="109"/>
    </i>
    <i>
      <x v="104"/>
    </i>
    <i>
      <x v="110"/>
    </i>
    <i>
      <x v="113"/>
    </i>
    <i>
      <x v="106"/>
    </i>
    <i>
      <x v="116"/>
    </i>
    <i>
      <x v="111"/>
    </i>
    <i>
      <x v="120"/>
    </i>
    <i>
      <x v="90"/>
    </i>
    <i>
      <x v="79"/>
    </i>
    <i>
      <x v="92"/>
    </i>
    <i>
      <x v="136"/>
    </i>
    <i>
      <x v="33"/>
    </i>
    <i>
      <x v="55"/>
    </i>
    <i>
      <x v="37"/>
    </i>
    <i>
      <x v="15"/>
    </i>
    <i>
      <x v="142"/>
    </i>
    <i>
      <x v="84"/>
    </i>
    <i>
      <x v="10"/>
    </i>
    <i>
      <x v="50"/>
    </i>
    <i>
      <x v="91"/>
    </i>
    <i>
      <x v="103"/>
    </i>
    <i>
      <x v="102"/>
    </i>
    <i>
      <x v="73"/>
    </i>
    <i>
      <x v="143"/>
    </i>
    <i>
      <x v="2"/>
    </i>
    <i>
      <x v="93"/>
    </i>
    <i>
      <x v="7"/>
    </i>
    <i>
      <x v="76"/>
    </i>
    <i>
      <x v="59"/>
    </i>
    <i>
      <x v="27"/>
    </i>
    <i>
      <x v="152"/>
    </i>
    <i>
      <x v="13"/>
    </i>
    <i>
      <x v="22"/>
    </i>
    <i>
      <x v="18"/>
    </i>
    <i>
      <x v="49"/>
    </i>
    <i>
      <x v="65"/>
    </i>
    <i>
      <x v="97"/>
    </i>
    <i>
      <x v="68"/>
    </i>
    <i>
      <x v="12"/>
    </i>
    <i>
      <x v="30"/>
    </i>
    <i>
      <x v="45"/>
    </i>
    <i>
      <x v="74"/>
    </i>
    <i>
      <x v="126"/>
    </i>
    <i>
      <x v="1"/>
    </i>
    <i>
      <x v="151"/>
    </i>
    <i>
      <x v="21"/>
    </i>
    <i>
      <x v="107"/>
    </i>
    <i>
      <x v="119"/>
    </i>
    <i>
      <x v="125"/>
    </i>
    <i>
      <x v="96"/>
    </i>
    <i>
      <x v="101"/>
    </i>
    <i>
      <x v="19"/>
    </i>
    <i>
      <x v="4"/>
    </i>
    <i>
      <x v="60"/>
    </i>
    <i>
      <x v="52"/>
    </i>
    <i>
      <x v="47"/>
    </i>
    <i>
      <x v="46"/>
    </i>
    <i>
      <x v="70"/>
    </i>
    <i>
      <x v="87"/>
    </i>
    <i>
      <x v="94"/>
    </i>
    <i>
      <x v="141"/>
    </i>
    <i>
      <x v="9"/>
    </i>
    <i>
      <x v="61"/>
    </i>
    <i>
      <x v="31"/>
    </i>
    <i>
      <x v="85"/>
    </i>
    <i>
      <x v="121"/>
    </i>
    <i>
      <x v="130"/>
    </i>
    <i>
      <x v="95"/>
    </i>
    <i>
      <x v="25"/>
    </i>
    <i>
      <x v="145"/>
    </i>
    <i>
      <x v="42"/>
    </i>
    <i>
      <x v="131"/>
    </i>
    <i>
      <x v="144"/>
    </i>
    <i>
      <x v="39"/>
    </i>
    <i>
      <x v="154"/>
    </i>
    <i>
      <x v="139"/>
    </i>
    <i>
      <x v="58"/>
    </i>
    <i>
      <x v="78"/>
    </i>
    <i>
      <x v="29"/>
    </i>
    <i>
      <x v="82"/>
    </i>
    <i>
      <x v="77"/>
    </i>
    <i>
      <x v="20"/>
    </i>
    <i>
      <x v="155"/>
    </i>
    <i>
      <x v="53"/>
    </i>
    <i>
      <x v="16"/>
    </i>
    <i>
      <x v="134"/>
    </i>
    <i>
      <x v="83"/>
    </i>
    <i>
      <x v="153"/>
    </i>
    <i>
      <x v="117"/>
    </i>
    <i>
      <x v="137"/>
    </i>
    <i>
      <x/>
    </i>
    <i>
      <x v="24"/>
    </i>
    <i>
      <x v="128"/>
    </i>
    <i t="grand">
      <x/>
    </i>
  </rowItems>
  <colItems count="1">
    <i/>
  </colItems>
  <dataFields count="1">
    <dataField name="Average of Score" fld="2" subtotal="average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0" firstHeaderRow="1" firstDataRow="1" firstDataCol="1"/>
  <pivotFields count="9">
    <pivotField showAll="0"/>
    <pivotField showAll="0"/>
    <pivotField dataField="1" showAll="0"/>
    <pivotField axis="axisRow" showAll="0" sortType="descending">
      <items count="147">
        <item x="104"/>
        <item x="144"/>
        <item x="135"/>
        <item x="132"/>
        <item x="118"/>
        <item x="106"/>
        <item x="140"/>
        <item x="115"/>
        <item x="120"/>
        <item x="133"/>
        <item x="130"/>
        <item x="141"/>
        <item x="145"/>
        <item x="112"/>
        <item x="137"/>
        <item x="107"/>
        <item x="127"/>
        <item x="125"/>
        <item x="123"/>
        <item x="142"/>
        <item x="136"/>
        <item x="110"/>
        <item x="119"/>
        <item x="96"/>
        <item x="94"/>
        <item x="103"/>
        <item x="143"/>
        <item x="134"/>
        <item x="71"/>
        <item x="113"/>
        <item x="91"/>
        <item x="81"/>
        <item x="117"/>
        <item x="93"/>
        <item x="114"/>
        <item x="101"/>
        <item x="129"/>
        <item x="92"/>
        <item x="139"/>
        <item x="58"/>
        <item x="102"/>
        <item x="97"/>
        <item x="65"/>
        <item x="68"/>
        <item x="44"/>
        <item x="80"/>
        <item x="122"/>
        <item x="89"/>
        <item x="40"/>
        <item x="131"/>
        <item x="99"/>
        <item x="60"/>
        <item x="34"/>
        <item x="26"/>
        <item x="84"/>
        <item x="67"/>
        <item x="126"/>
        <item x="90"/>
        <item x="124"/>
        <item x="55"/>
        <item x="95"/>
        <item x="108"/>
        <item x="62"/>
        <item x="105"/>
        <item x="45"/>
        <item x="111"/>
        <item x="49"/>
        <item x="128"/>
        <item x="116"/>
        <item x="87"/>
        <item x="75"/>
        <item x="100"/>
        <item x="78"/>
        <item x="121"/>
        <item x="63"/>
        <item x="79"/>
        <item x="42"/>
        <item x="86"/>
        <item x="83"/>
        <item x="31"/>
        <item x="74"/>
        <item x="88"/>
        <item x="11"/>
        <item x="138"/>
        <item x="85"/>
        <item x="69"/>
        <item x="51"/>
        <item x="70"/>
        <item x="82"/>
        <item x="98"/>
        <item x="76"/>
        <item x="22"/>
        <item x="46"/>
        <item x="109"/>
        <item x="56"/>
        <item x="32"/>
        <item x="30"/>
        <item x="72"/>
        <item x="25"/>
        <item x="47"/>
        <item x="59"/>
        <item x="77"/>
        <item x="66"/>
        <item x="52"/>
        <item x="61"/>
        <item x="39"/>
        <item x="64"/>
        <item x="38"/>
        <item x="54"/>
        <item x="41"/>
        <item x="37"/>
        <item x="43"/>
        <item x="48"/>
        <item x="19"/>
        <item x="12"/>
        <item x="29"/>
        <item x="35"/>
        <item x="21"/>
        <item x="53"/>
        <item x="7"/>
        <item x="23"/>
        <item x="57"/>
        <item x="14"/>
        <item x="0"/>
        <item x="17"/>
        <item x="36"/>
        <item x="8"/>
        <item x="24"/>
        <item x="10"/>
        <item x="16"/>
        <item x="9"/>
        <item x="3"/>
        <item x="1"/>
        <item x="6"/>
        <item x="4"/>
        <item x="27"/>
        <item x="18"/>
        <item x="73"/>
        <item x="5"/>
        <item x="2"/>
        <item x="15"/>
        <item x="50"/>
        <item x="20"/>
        <item x="33"/>
        <item x="1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147">
    <i>
      <x v="123"/>
    </i>
    <i>
      <x v="132"/>
    </i>
    <i>
      <x v="139"/>
    </i>
    <i>
      <x v="131"/>
    </i>
    <i>
      <x v="134"/>
    </i>
    <i>
      <x v="138"/>
    </i>
    <i>
      <x v="133"/>
    </i>
    <i>
      <x v="119"/>
    </i>
    <i>
      <x v="126"/>
    </i>
    <i>
      <x v="130"/>
    </i>
    <i>
      <x v="128"/>
    </i>
    <i>
      <x v="82"/>
    </i>
    <i>
      <x v="114"/>
    </i>
    <i>
      <x v="144"/>
    </i>
    <i>
      <x v="122"/>
    </i>
    <i>
      <x v="140"/>
    </i>
    <i>
      <x v="129"/>
    </i>
    <i>
      <x v="124"/>
    </i>
    <i>
      <x v="136"/>
    </i>
    <i>
      <x v="113"/>
    </i>
    <i>
      <x v="142"/>
    </i>
    <i>
      <x v="117"/>
    </i>
    <i>
      <x v="91"/>
    </i>
    <i>
      <x v="120"/>
    </i>
    <i>
      <x v="127"/>
    </i>
    <i>
      <x v="98"/>
    </i>
    <i>
      <x v="53"/>
    </i>
    <i>
      <x v="135"/>
    </i>
    <i>
      <x v="145"/>
    </i>
    <i>
      <x v="115"/>
    </i>
    <i>
      <x v="96"/>
    </i>
    <i>
      <x v="95"/>
    </i>
    <i>
      <x v="143"/>
    </i>
    <i>
      <x v="52"/>
    </i>
    <i>
      <x v="116"/>
    </i>
    <i>
      <x v="125"/>
    </i>
    <i>
      <x v="110"/>
    </i>
    <i>
      <x v="107"/>
    </i>
    <i>
      <x v="105"/>
    </i>
    <i>
      <x v="48"/>
    </i>
    <i>
      <x v="109"/>
    </i>
    <i>
      <x v="76"/>
    </i>
    <i>
      <x v="111"/>
    </i>
    <i>
      <x v="44"/>
    </i>
    <i>
      <x v="64"/>
    </i>
    <i>
      <x v="99"/>
    </i>
    <i>
      <x v="66"/>
    </i>
    <i>
      <x v="141"/>
    </i>
    <i>
      <x v="86"/>
    </i>
    <i>
      <x v="79"/>
    </i>
    <i>
      <x v="103"/>
    </i>
    <i>
      <x v="118"/>
    </i>
    <i>
      <x v="108"/>
    </i>
    <i>
      <x v="59"/>
    </i>
    <i>
      <x v="94"/>
    </i>
    <i>
      <x v="121"/>
    </i>
    <i>
      <x v="112"/>
    </i>
    <i>
      <x v="39"/>
    </i>
    <i>
      <x v="100"/>
    </i>
    <i>
      <x v="51"/>
    </i>
    <i>
      <x v="104"/>
    </i>
    <i>
      <x v="62"/>
    </i>
    <i>
      <x v="42"/>
    </i>
    <i>
      <x v="55"/>
    </i>
    <i>
      <x v="92"/>
    </i>
    <i>
      <x v="43"/>
    </i>
    <i>
      <x v="85"/>
    </i>
    <i>
      <x v="87"/>
    </i>
    <i>
      <x v="106"/>
    </i>
    <i>
      <x v="102"/>
    </i>
    <i>
      <x v="28"/>
    </i>
    <i>
      <x v="97"/>
    </i>
    <i>
      <x v="137"/>
    </i>
    <i>
      <x v="80"/>
    </i>
    <i>
      <x v="70"/>
    </i>
    <i>
      <x v="90"/>
    </i>
    <i>
      <x v="101"/>
    </i>
    <i>
      <x v="72"/>
    </i>
    <i>
      <x v="75"/>
    </i>
    <i>
      <x v="45"/>
    </i>
    <i>
      <x v="31"/>
    </i>
    <i>
      <x v="88"/>
    </i>
    <i>
      <x v="78"/>
    </i>
    <i>
      <x v="54"/>
    </i>
    <i>
      <x v="77"/>
    </i>
    <i>
      <x v="69"/>
    </i>
    <i>
      <x v="81"/>
    </i>
    <i>
      <x v="47"/>
    </i>
    <i>
      <x v="57"/>
    </i>
    <i>
      <x v="30"/>
    </i>
    <i>
      <x v="74"/>
    </i>
    <i>
      <x v="37"/>
    </i>
    <i>
      <x v="33"/>
    </i>
    <i>
      <x v="24"/>
    </i>
    <i>
      <x v="60"/>
    </i>
    <i>
      <x v="23"/>
    </i>
    <i>
      <x v="84"/>
    </i>
    <i>
      <x v="41"/>
    </i>
    <i>
      <x v="89"/>
    </i>
    <i>
      <x v="50"/>
    </i>
    <i>
      <x v="71"/>
    </i>
    <i>
      <x v="35"/>
    </i>
    <i>
      <x v="40"/>
    </i>
    <i>
      <x v="25"/>
    </i>
    <i>
      <x/>
    </i>
    <i>
      <x v="63"/>
    </i>
    <i>
      <x v="5"/>
    </i>
    <i>
      <x v="15"/>
    </i>
    <i>
      <x v="61"/>
    </i>
    <i>
      <x v="93"/>
    </i>
    <i>
      <x v="21"/>
    </i>
    <i>
      <x v="65"/>
    </i>
    <i>
      <x v="13"/>
    </i>
    <i>
      <x v="29"/>
    </i>
    <i>
      <x v="34"/>
    </i>
    <i>
      <x v="7"/>
    </i>
    <i>
      <x v="68"/>
    </i>
    <i>
      <x v="32"/>
    </i>
    <i>
      <x v="4"/>
    </i>
    <i>
      <x v="22"/>
    </i>
    <i>
      <x v="8"/>
    </i>
    <i>
      <x v="73"/>
    </i>
    <i>
      <x v="46"/>
    </i>
    <i>
      <x v="58"/>
    </i>
    <i>
      <x v="17"/>
    </i>
    <i>
      <x v="56"/>
    </i>
    <i>
      <x v="16"/>
    </i>
    <i>
      <x v="67"/>
    </i>
    <i>
      <x v="36"/>
    </i>
    <i>
      <x v="10"/>
    </i>
    <i>
      <x v="49"/>
    </i>
    <i>
      <x v="3"/>
    </i>
    <i>
      <x v="9"/>
    </i>
    <i>
      <x v="27"/>
    </i>
    <i>
      <x v="18"/>
    </i>
    <i>
      <x v="2"/>
    </i>
    <i>
      <x v="20"/>
    </i>
    <i>
      <x v="14"/>
    </i>
    <i>
      <x v="83"/>
    </i>
    <i>
      <x v="38"/>
    </i>
    <i>
      <x v="6"/>
    </i>
    <i>
      <x v="11"/>
    </i>
    <i>
      <x v="19"/>
    </i>
    <i>
      <x v="26"/>
    </i>
    <i>
      <x v="1"/>
    </i>
    <i>
      <x v="12"/>
    </i>
    <i t="grand">
      <x/>
    </i>
  </rowItems>
  <colItems count="1">
    <i/>
  </colItems>
  <dataFields count="1">
    <dataField name="Average of Score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C149" firstHeaderRow="1" firstDataRow="1" firstDataCol="1"/>
  <pivotFields count="9">
    <pivotField showAll="0"/>
    <pivotField showAll="0"/>
    <pivotField dataField="1" showAll="0"/>
    <pivotField axis="axisRow" showAll="0" sortType="descending">
      <items count="147">
        <item x="104"/>
        <item x="144"/>
        <item x="135"/>
        <item x="132"/>
        <item x="118"/>
        <item x="106"/>
        <item x="140"/>
        <item x="115"/>
        <item x="120"/>
        <item x="133"/>
        <item x="130"/>
        <item x="141"/>
        <item x="145"/>
        <item x="112"/>
        <item x="137"/>
        <item x="107"/>
        <item x="127"/>
        <item x="125"/>
        <item x="123"/>
        <item x="142"/>
        <item x="136"/>
        <item x="110"/>
        <item x="119"/>
        <item x="96"/>
        <item x="94"/>
        <item x="103"/>
        <item x="143"/>
        <item x="134"/>
        <item x="71"/>
        <item x="113"/>
        <item x="91"/>
        <item x="81"/>
        <item x="117"/>
        <item x="93"/>
        <item x="114"/>
        <item x="101"/>
        <item x="129"/>
        <item x="92"/>
        <item x="139"/>
        <item x="58"/>
        <item x="102"/>
        <item x="97"/>
        <item x="65"/>
        <item x="68"/>
        <item x="44"/>
        <item x="80"/>
        <item x="122"/>
        <item x="89"/>
        <item x="40"/>
        <item x="131"/>
        <item x="99"/>
        <item x="60"/>
        <item x="34"/>
        <item x="26"/>
        <item x="84"/>
        <item x="67"/>
        <item x="126"/>
        <item x="90"/>
        <item x="124"/>
        <item x="55"/>
        <item x="95"/>
        <item x="108"/>
        <item x="62"/>
        <item x="105"/>
        <item x="45"/>
        <item x="111"/>
        <item x="49"/>
        <item x="128"/>
        <item x="116"/>
        <item x="87"/>
        <item x="75"/>
        <item x="100"/>
        <item x="78"/>
        <item x="121"/>
        <item x="63"/>
        <item x="79"/>
        <item x="42"/>
        <item x="86"/>
        <item x="83"/>
        <item x="31"/>
        <item x="74"/>
        <item x="88"/>
        <item x="11"/>
        <item x="138"/>
        <item x="85"/>
        <item x="69"/>
        <item x="51"/>
        <item x="70"/>
        <item x="82"/>
        <item x="98"/>
        <item x="76"/>
        <item x="22"/>
        <item x="46"/>
        <item x="109"/>
        <item x="56"/>
        <item x="32"/>
        <item x="30"/>
        <item x="72"/>
        <item x="25"/>
        <item x="47"/>
        <item x="59"/>
        <item x="77"/>
        <item x="66"/>
        <item x="52"/>
        <item x="61"/>
        <item x="39"/>
        <item x="64"/>
        <item x="38"/>
        <item x="54"/>
        <item x="41"/>
        <item x="37"/>
        <item x="43"/>
        <item x="48"/>
        <item x="19"/>
        <item x="12"/>
        <item x="29"/>
        <item x="35"/>
        <item x="21"/>
        <item x="53"/>
        <item x="7"/>
        <item x="23"/>
        <item x="57"/>
        <item x="14"/>
        <item x="0"/>
        <item x="17"/>
        <item x="36"/>
        <item x="8"/>
        <item x="24"/>
        <item x="10"/>
        <item x="16"/>
        <item x="9"/>
        <item x="3"/>
        <item x="1"/>
        <item x="6"/>
        <item x="4"/>
        <item x="27"/>
        <item x="18"/>
        <item x="73"/>
        <item x="5"/>
        <item x="2"/>
        <item x="15"/>
        <item x="50"/>
        <item x="20"/>
        <item x="33"/>
        <item x="1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147">
    <i>
      <x v="123"/>
    </i>
    <i>
      <x v="132"/>
    </i>
    <i>
      <x v="139"/>
    </i>
    <i>
      <x v="131"/>
    </i>
    <i>
      <x v="134"/>
    </i>
    <i>
      <x v="138"/>
    </i>
    <i>
      <x v="133"/>
    </i>
    <i>
      <x v="119"/>
    </i>
    <i>
      <x v="126"/>
    </i>
    <i>
      <x v="130"/>
    </i>
    <i>
      <x v="128"/>
    </i>
    <i>
      <x v="82"/>
    </i>
    <i>
      <x v="114"/>
    </i>
    <i>
      <x v="144"/>
    </i>
    <i>
      <x v="122"/>
    </i>
    <i>
      <x v="140"/>
    </i>
    <i>
      <x v="129"/>
    </i>
    <i>
      <x v="124"/>
    </i>
    <i>
      <x v="136"/>
    </i>
    <i>
      <x v="113"/>
    </i>
    <i>
      <x v="142"/>
    </i>
    <i>
      <x v="117"/>
    </i>
    <i>
      <x v="91"/>
    </i>
    <i>
      <x v="120"/>
    </i>
    <i>
      <x v="127"/>
    </i>
    <i>
      <x v="98"/>
    </i>
    <i>
      <x v="53"/>
    </i>
    <i>
      <x v="135"/>
    </i>
    <i>
      <x v="145"/>
    </i>
    <i>
      <x v="115"/>
    </i>
    <i>
      <x v="96"/>
    </i>
    <i>
      <x v="95"/>
    </i>
    <i>
      <x v="143"/>
    </i>
    <i>
      <x v="52"/>
    </i>
    <i>
      <x v="116"/>
    </i>
    <i>
      <x v="125"/>
    </i>
    <i>
      <x v="110"/>
    </i>
    <i>
      <x v="107"/>
    </i>
    <i>
      <x v="105"/>
    </i>
    <i>
      <x v="48"/>
    </i>
    <i>
      <x v="109"/>
    </i>
    <i>
      <x v="76"/>
    </i>
    <i>
      <x v="111"/>
    </i>
    <i>
      <x v="44"/>
    </i>
    <i>
      <x v="64"/>
    </i>
    <i>
      <x v="99"/>
    </i>
    <i>
      <x v="66"/>
    </i>
    <i>
      <x v="141"/>
    </i>
    <i>
      <x v="86"/>
    </i>
    <i>
      <x v="79"/>
    </i>
    <i>
      <x v="103"/>
    </i>
    <i>
      <x v="118"/>
    </i>
    <i>
      <x v="108"/>
    </i>
    <i>
      <x v="59"/>
    </i>
    <i>
      <x v="94"/>
    </i>
    <i>
      <x v="121"/>
    </i>
    <i>
      <x v="112"/>
    </i>
    <i>
      <x v="39"/>
    </i>
    <i>
      <x v="100"/>
    </i>
    <i>
      <x v="51"/>
    </i>
    <i>
      <x v="104"/>
    </i>
    <i>
      <x v="62"/>
    </i>
    <i>
      <x v="42"/>
    </i>
    <i>
      <x v="55"/>
    </i>
    <i>
      <x v="92"/>
    </i>
    <i>
      <x v="43"/>
    </i>
    <i>
      <x v="85"/>
    </i>
    <i>
      <x v="87"/>
    </i>
    <i>
      <x v="106"/>
    </i>
    <i>
      <x v="102"/>
    </i>
    <i>
      <x v="28"/>
    </i>
    <i>
      <x v="97"/>
    </i>
    <i>
      <x v="137"/>
    </i>
    <i>
      <x v="80"/>
    </i>
    <i>
      <x v="70"/>
    </i>
    <i>
      <x v="90"/>
    </i>
    <i>
      <x v="101"/>
    </i>
    <i>
      <x v="72"/>
    </i>
    <i>
      <x v="75"/>
    </i>
    <i>
      <x v="45"/>
    </i>
    <i>
      <x v="31"/>
    </i>
    <i>
      <x v="88"/>
    </i>
    <i>
      <x v="78"/>
    </i>
    <i>
      <x v="54"/>
    </i>
    <i>
      <x v="77"/>
    </i>
    <i>
      <x v="69"/>
    </i>
    <i>
      <x v="81"/>
    </i>
    <i>
      <x v="47"/>
    </i>
    <i>
      <x v="57"/>
    </i>
    <i>
      <x v="30"/>
    </i>
    <i>
      <x v="74"/>
    </i>
    <i>
      <x v="37"/>
    </i>
    <i>
      <x v="33"/>
    </i>
    <i>
      <x v="24"/>
    </i>
    <i>
      <x v="60"/>
    </i>
    <i>
      <x v="23"/>
    </i>
    <i>
      <x v="84"/>
    </i>
    <i>
      <x v="41"/>
    </i>
    <i>
      <x v="89"/>
    </i>
    <i>
      <x v="50"/>
    </i>
    <i>
      <x v="71"/>
    </i>
    <i>
      <x v="35"/>
    </i>
    <i>
      <x v="40"/>
    </i>
    <i>
      <x v="25"/>
    </i>
    <i>
      <x/>
    </i>
    <i>
      <x v="63"/>
    </i>
    <i>
      <x v="5"/>
    </i>
    <i>
      <x v="15"/>
    </i>
    <i>
      <x v="61"/>
    </i>
    <i>
      <x v="93"/>
    </i>
    <i>
      <x v="21"/>
    </i>
    <i>
      <x v="65"/>
    </i>
    <i>
      <x v="13"/>
    </i>
    <i>
      <x v="29"/>
    </i>
    <i>
      <x v="34"/>
    </i>
    <i>
      <x v="7"/>
    </i>
    <i>
      <x v="68"/>
    </i>
    <i>
      <x v="32"/>
    </i>
    <i>
      <x v="4"/>
    </i>
    <i>
      <x v="22"/>
    </i>
    <i>
      <x v="8"/>
    </i>
    <i>
      <x v="73"/>
    </i>
    <i>
      <x v="46"/>
    </i>
    <i>
      <x v="58"/>
    </i>
    <i>
      <x v="17"/>
    </i>
    <i>
      <x v="56"/>
    </i>
    <i>
      <x v="16"/>
    </i>
    <i>
      <x v="67"/>
    </i>
    <i>
      <x v="36"/>
    </i>
    <i>
      <x v="10"/>
    </i>
    <i>
      <x v="49"/>
    </i>
    <i>
      <x v="3"/>
    </i>
    <i>
      <x v="9"/>
    </i>
    <i>
      <x v="27"/>
    </i>
    <i>
      <x v="18"/>
    </i>
    <i>
      <x v="2"/>
    </i>
    <i>
      <x v="20"/>
    </i>
    <i>
      <x v="14"/>
    </i>
    <i>
      <x v="83"/>
    </i>
    <i>
      <x v="38"/>
    </i>
    <i>
      <x v="6"/>
    </i>
    <i>
      <x v="11"/>
    </i>
    <i>
      <x v="19"/>
    </i>
    <i>
      <x v="26"/>
    </i>
    <i>
      <x v="1"/>
    </i>
    <i>
      <x v="12"/>
    </i>
    <i t="grand">
      <x/>
    </i>
  </rowItems>
  <colItems count="1">
    <i/>
  </colItems>
  <dataFields count="1">
    <dataField name="Average of Score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3" firstHeaderRow="1" firstDataRow="1" firstDataCol="1"/>
  <pivotFields count="9">
    <pivotField showAll="0"/>
    <pivotField showAll="0"/>
    <pivotField dataField="1" showAll="0"/>
    <pivotField showAll="0"/>
    <pivotField showAll="0"/>
    <pivotField axis="axisRow" showAll="0" sortType="descending">
      <items count="120">
        <item x="100"/>
        <item x="117"/>
        <item x="107"/>
        <item x="98"/>
        <item x="73"/>
        <item x="96"/>
        <item x="61"/>
        <item x="83"/>
        <item x="118"/>
        <item x="95"/>
        <item x="71"/>
        <item x="94"/>
        <item x="116"/>
        <item x="85"/>
        <item x="87"/>
        <item x="86"/>
        <item x="92"/>
        <item x="75"/>
        <item x="104"/>
        <item x="103"/>
        <item x="89"/>
        <item x="108"/>
        <item x="111"/>
        <item x="101"/>
        <item x="109"/>
        <item x="113"/>
        <item x="79"/>
        <item x="84"/>
        <item x="72"/>
        <item x="91"/>
        <item x="112"/>
        <item x="115"/>
        <item x="106"/>
        <item x="76"/>
        <item x="99"/>
        <item x="50"/>
        <item x="110"/>
        <item x="78"/>
        <item x="97"/>
        <item x="77"/>
        <item x="93"/>
        <item x="90"/>
        <item x="105"/>
        <item x="70"/>
        <item x="114"/>
        <item x="81"/>
        <item x="102"/>
        <item x="52"/>
        <item x="67"/>
        <item x="59"/>
        <item x="82"/>
        <item x="54"/>
        <item x="74"/>
        <item x="47"/>
        <item x="30"/>
        <item x="55"/>
        <item x="62"/>
        <item x="51"/>
        <item x="46"/>
        <item x="53"/>
        <item x="20"/>
        <item x="88"/>
        <item x="32"/>
        <item x="37"/>
        <item x="65"/>
        <item x="48"/>
        <item x="57"/>
        <item x="64"/>
        <item x="63"/>
        <item x="28"/>
        <item x="21"/>
        <item x="44"/>
        <item x="25"/>
        <item x="80"/>
        <item x="40"/>
        <item x="42"/>
        <item x="66"/>
        <item x="33"/>
        <item x="16"/>
        <item x="41"/>
        <item x="43"/>
        <item x="36"/>
        <item x="60"/>
        <item x="34"/>
        <item x="58"/>
        <item x="69"/>
        <item x="49"/>
        <item x="17"/>
        <item x="39"/>
        <item x="22"/>
        <item x="14"/>
        <item x="29"/>
        <item x="31"/>
        <item x="26"/>
        <item x="68"/>
        <item x="24"/>
        <item x="19"/>
        <item x="15"/>
        <item x="35"/>
        <item x="10"/>
        <item x="0"/>
        <item x="13"/>
        <item x="1"/>
        <item x="4"/>
        <item x="6"/>
        <item x="12"/>
        <item x="8"/>
        <item x="3"/>
        <item x="2"/>
        <item x="11"/>
        <item x="9"/>
        <item x="7"/>
        <item x="38"/>
        <item x="18"/>
        <item x="5"/>
        <item x="23"/>
        <item x="45"/>
        <item x="5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120">
    <i>
      <x v="108"/>
    </i>
    <i>
      <x v="114"/>
    </i>
    <i>
      <x v="107"/>
    </i>
    <i>
      <x v="100"/>
    </i>
    <i>
      <x v="104"/>
    </i>
    <i>
      <x v="102"/>
    </i>
    <i>
      <x v="106"/>
    </i>
    <i>
      <x v="99"/>
    </i>
    <i>
      <x v="109"/>
    </i>
    <i>
      <x v="105"/>
    </i>
    <i>
      <x v="101"/>
    </i>
    <i>
      <x v="111"/>
    </i>
    <i>
      <x v="97"/>
    </i>
    <i>
      <x v="87"/>
    </i>
    <i>
      <x v="113"/>
    </i>
    <i>
      <x v="110"/>
    </i>
    <i>
      <x v="78"/>
    </i>
    <i>
      <x v="103"/>
    </i>
    <i>
      <x v="60"/>
    </i>
    <i>
      <x v="70"/>
    </i>
    <i>
      <x v="115"/>
    </i>
    <i>
      <x v="95"/>
    </i>
    <i>
      <x v="72"/>
    </i>
    <i>
      <x v="93"/>
    </i>
    <i>
      <x v="118"/>
    </i>
    <i>
      <x v="54"/>
    </i>
    <i>
      <x v="92"/>
    </i>
    <i>
      <x v="62"/>
    </i>
    <i>
      <x v="77"/>
    </i>
    <i>
      <x v="91"/>
    </i>
    <i>
      <x v="83"/>
    </i>
    <i>
      <x v="98"/>
    </i>
    <i>
      <x v="81"/>
    </i>
    <i>
      <x v="63"/>
    </i>
    <i>
      <x v="89"/>
    </i>
    <i>
      <x v="88"/>
    </i>
    <i>
      <x v="75"/>
    </i>
    <i>
      <x v="96"/>
    </i>
    <i>
      <x v="71"/>
    </i>
    <i>
      <x v="116"/>
    </i>
    <i>
      <x v="112"/>
    </i>
    <i>
      <x v="90"/>
    </i>
    <i>
      <x v="58"/>
    </i>
    <i>
      <x v="69"/>
    </i>
    <i>
      <x v="53"/>
    </i>
    <i>
      <x v="65"/>
    </i>
    <i>
      <x v="79"/>
    </i>
    <i>
      <x v="74"/>
    </i>
    <i>
      <x v="35"/>
    </i>
    <i>
      <x v="86"/>
    </i>
    <i>
      <x v="57"/>
    </i>
    <i>
      <x v="51"/>
    </i>
    <i>
      <x v="55"/>
    </i>
    <i>
      <x v="47"/>
    </i>
    <i>
      <x v="117"/>
    </i>
    <i>
      <x v="66"/>
    </i>
    <i>
      <x v="84"/>
    </i>
    <i>
      <x v="49"/>
    </i>
    <i>
      <x v="82"/>
    </i>
    <i>
      <x v="6"/>
    </i>
    <i>
      <x v="64"/>
    </i>
    <i>
      <x v="67"/>
    </i>
    <i>
      <x v="48"/>
    </i>
    <i>
      <x v="94"/>
    </i>
    <i>
      <x v="85"/>
    </i>
    <i>
      <x v="80"/>
    </i>
    <i>
      <x v="43"/>
    </i>
    <i>
      <x v="10"/>
    </i>
    <i>
      <x v="28"/>
    </i>
    <i>
      <x v="4"/>
    </i>
    <i>
      <x v="59"/>
    </i>
    <i>
      <x v="52"/>
    </i>
    <i>
      <x v="17"/>
    </i>
    <i>
      <x v="68"/>
    </i>
    <i>
      <x v="56"/>
    </i>
    <i>
      <x v="76"/>
    </i>
    <i>
      <x v="33"/>
    </i>
    <i>
      <x v="37"/>
    </i>
    <i>
      <x v="39"/>
    </i>
    <i>
      <x v="26"/>
    </i>
    <i>
      <x v="73"/>
    </i>
    <i>
      <x v="45"/>
    </i>
    <i>
      <x v="50"/>
    </i>
    <i>
      <x v="7"/>
    </i>
    <i>
      <x v="27"/>
    </i>
    <i>
      <x v="13"/>
    </i>
    <i>
      <x v="14"/>
    </i>
    <i>
      <x v="61"/>
    </i>
    <i>
      <x v="20"/>
    </i>
    <i>
      <x v="41"/>
    </i>
    <i>
      <x v="29"/>
    </i>
    <i>
      <x v="16"/>
    </i>
    <i>
      <x v="40"/>
    </i>
    <i>
      <x v="11"/>
    </i>
    <i>
      <x v="9"/>
    </i>
    <i>
      <x v="5"/>
    </i>
    <i>
      <x v="3"/>
    </i>
    <i>
      <x v="34"/>
    </i>
    <i>
      <x/>
    </i>
    <i>
      <x v="15"/>
    </i>
    <i>
      <x v="46"/>
    </i>
    <i>
      <x v="38"/>
    </i>
    <i>
      <x v="19"/>
    </i>
    <i>
      <x v="18"/>
    </i>
    <i>
      <x v="23"/>
    </i>
    <i>
      <x v="42"/>
    </i>
    <i>
      <x v="32"/>
    </i>
    <i>
      <x v="2"/>
    </i>
    <i>
      <x v="21"/>
    </i>
    <i>
      <x v="24"/>
    </i>
    <i>
      <x v="36"/>
    </i>
    <i>
      <x v="22"/>
    </i>
    <i>
      <x v="30"/>
    </i>
    <i>
      <x v="25"/>
    </i>
    <i>
      <x v="44"/>
    </i>
    <i>
      <x v="31"/>
    </i>
    <i>
      <x v="12"/>
    </i>
    <i>
      <x v="1"/>
    </i>
    <i>
      <x v="8"/>
    </i>
    <i t="grand">
      <x/>
    </i>
  </rowItems>
  <colItems count="1">
    <i/>
  </colItems>
  <dataFields count="1">
    <dataField name="Average of Score" fld="2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0"/>
  <sheetViews>
    <sheetView workbookViewId="0">
      <selection activeCell="P16" sqref="P16"/>
    </sheetView>
  </sheetViews>
  <sheetFormatPr defaultRowHeight="14.5" x14ac:dyDescent="0.35"/>
  <cols>
    <col min="1" max="1" width="20.90625" bestFit="1" customWidth="1"/>
    <col min="2" max="2" width="14.81640625" bestFit="1" customWidth="1"/>
  </cols>
  <sheetData>
    <row r="3" spans="1:2" x14ac:dyDescent="0.35">
      <c r="A3" s="1" t="s">
        <v>171</v>
      </c>
      <c r="B3" t="s">
        <v>173</v>
      </c>
    </row>
    <row r="4" spans="1:2" x14ac:dyDescent="0.35">
      <c r="A4" s="2" t="s">
        <v>7</v>
      </c>
      <c r="B4" s="3">
        <v>7.7690000000000001</v>
      </c>
    </row>
    <row r="5" spans="1:2" x14ac:dyDescent="0.35">
      <c r="A5" s="2" t="s">
        <v>8</v>
      </c>
      <c r="B5" s="3">
        <v>7.6</v>
      </c>
    </row>
    <row r="6" spans="1:2" x14ac:dyDescent="0.35">
      <c r="A6" s="2" t="s">
        <v>9</v>
      </c>
      <c r="B6" s="3">
        <v>7.5540000000000003</v>
      </c>
    </row>
    <row r="7" spans="1:2" x14ac:dyDescent="0.35">
      <c r="A7" s="2" t="s">
        <v>10</v>
      </c>
      <c r="B7" s="3">
        <v>7.4939999999999998</v>
      </c>
    </row>
    <row r="8" spans="1:2" x14ac:dyDescent="0.35">
      <c r="A8" s="2" t="s">
        <v>11</v>
      </c>
      <c r="B8" s="3">
        <v>7.4880000000000004</v>
      </c>
    </row>
    <row r="9" spans="1:2" x14ac:dyDescent="0.35">
      <c r="A9" s="2" t="s">
        <v>12</v>
      </c>
      <c r="B9" s="3">
        <v>7.48</v>
      </c>
    </row>
    <row r="10" spans="1:2" x14ac:dyDescent="0.35">
      <c r="A10" s="2" t="s">
        <v>13</v>
      </c>
      <c r="B10" s="3">
        <v>7.343</v>
      </c>
    </row>
    <row r="11" spans="1:2" x14ac:dyDescent="0.35">
      <c r="A11" s="2" t="s">
        <v>14</v>
      </c>
      <c r="B11" s="3">
        <v>7.3070000000000004</v>
      </c>
    </row>
    <row r="12" spans="1:2" x14ac:dyDescent="0.35">
      <c r="A12" s="2" t="s">
        <v>15</v>
      </c>
      <c r="B12" s="3">
        <v>7.2779999999999996</v>
      </c>
    </row>
    <row r="13" spans="1:2" x14ac:dyDescent="0.35">
      <c r="A13" s="2" t="s">
        <v>16</v>
      </c>
      <c r="B13" s="3">
        <v>7.2460000000000004</v>
      </c>
    </row>
    <row r="14" spans="1:2" x14ac:dyDescent="0.35">
      <c r="A14" s="2" t="s">
        <v>17</v>
      </c>
      <c r="B14" s="3">
        <v>7.2279999999999998</v>
      </c>
    </row>
    <row r="15" spans="1:2" x14ac:dyDescent="0.35">
      <c r="A15" s="2" t="s">
        <v>18</v>
      </c>
      <c r="B15" s="3">
        <v>7.1669999999999998</v>
      </c>
    </row>
    <row r="16" spans="1:2" x14ac:dyDescent="0.35">
      <c r="A16" s="2" t="s">
        <v>19</v>
      </c>
      <c r="B16" s="3">
        <v>7.1390000000000002</v>
      </c>
    </row>
    <row r="17" spans="1:2" x14ac:dyDescent="0.35">
      <c r="A17" s="2" t="s">
        <v>20</v>
      </c>
      <c r="B17" s="3">
        <v>7.09</v>
      </c>
    </row>
    <row r="18" spans="1:2" x14ac:dyDescent="0.35">
      <c r="A18" s="2" t="s">
        <v>21</v>
      </c>
      <c r="B18" s="3">
        <v>7.0540000000000003</v>
      </c>
    </row>
    <row r="19" spans="1:2" x14ac:dyDescent="0.35">
      <c r="A19" s="2" t="s">
        <v>22</v>
      </c>
      <c r="B19" s="3">
        <v>7.0209999999999999</v>
      </c>
    </row>
    <row r="20" spans="1:2" x14ac:dyDescent="0.35">
      <c r="A20" s="2" t="s">
        <v>23</v>
      </c>
      <c r="B20" s="3">
        <v>6.9850000000000003</v>
      </c>
    </row>
    <row r="21" spans="1:2" x14ac:dyDescent="0.35">
      <c r="A21" s="2" t="s">
        <v>24</v>
      </c>
      <c r="B21" s="3">
        <v>6.923</v>
      </c>
    </row>
    <row r="22" spans="1:2" x14ac:dyDescent="0.35">
      <c r="A22" s="2" t="s">
        <v>25</v>
      </c>
      <c r="B22" s="3">
        <v>6.8920000000000003</v>
      </c>
    </row>
    <row r="23" spans="1:2" x14ac:dyDescent="0.35">
      <c r="A23" s="2" t="s">
        <v>26</v>
      </c>
      <c r="B23" s="3">
        <v>6.8520000000000003</v>
      </c>
    </row>
    <row r="24" spans="1:2" x14ac:dyDescent="0.35">
      <c r="A24" s="2" t="s">
        <v>27</v>
      </c>
      <c r="B24" s="3">
        <v>6.8250000000000002</v>
      </c>
    </row>
    <row r="25" spans="1:2" x14ac:dyDescent="0.35">
      <c r="A25" s="2" t="s">
        <v>28</v>
      </c>
      <c r="B25" s="3">
        <v>6.726</v>
      </c>
    </row>
    <row r="26" spans="1:2" x14ac:dyDescent="0.35">
      <c r="A26" s="2" t="s">
        <v>29</v>
      </c>
      <c r="B26" s="3">
        <v>6.5949999999999998</v>
      </c>
    </row>
    <row r="27" spans="1:2" x14ac:dyDescent="0.35">
      <c r="A27" s="2" t="s">
        <v>30</v>
      </c>
      <c r="B27" s="3">
        <v>6.5919999999999996</v>
      </c>
    </row>
    <row r="28" spans="1:2" x14ac:dyDescent="0.35">
      <c r="A28" s="2" t="s">
        <v>31</v>
      </c>
      <c r="B28" s="3">
        <v>6.4459999999999997</v>
      </c>
    </row>
    <row r="29" spans="1:2" x14ac:dyDescent="0.35">
      <c r="A29" s="2" t="s">
        <v>32</v>
      </c>
      <c r="B29" s="3">
        <v>6.444</v>
      </c>
    </row>
    <row r="30" spans="1:2" x14ac:dyDescent="0.35">
      <c r="A30" s="2" t="s">
        <v>33</v>
      </c>
      <c r="B30" s="3">
        <v>6.4359999999999999</v>
      </c>
    </row>
    <row r="31" spans="1:2" x14ac:dyDescent="0.35">
      <c r="A31" s="2" t="s">
        <v>34</v>
      </c>
      <c r="B31" s="3">
        <v>6.375</v>
      </c>
    </row>
    <row r="32" spans="1:2" x14ac:dyDescent="0.35">
      <c r="A32" s="2" t="s">
        <v>35</v>
      </c>
      <c r="B32" s="3">
        <v>6.3739999999999997</v>
      </c>
    </row>
    <row r="33" spans="1:2" x14ac:dyDescent="0.35">
      <c r="A33" s="2" t="s">
        <v>36</v>
      </c>
      <c r="B33" s="3">
        <v>6.3540000000000001</v>
      </c>
    </row>
    <row r="34" spans="1:2" x14ac:dyDescent="0.35">
      <c r="A34" s="2" t="s">
        <v>37</v>
      </c>
      <c r="B34" s="3">
        <v>6.3209999999999997</v>
      </c>
    </row>
    <row r="35" spans="1:2" x14ac:dyDescent="0.35">
      <c r="A35" s="2" t="s">
        <v>38</v>
      </c>
      <c r="B35" s="3">
        <v>6.3</v>
      </c>
    </row>
    <row r="36" spans="1:2" x14ac:dyDescent="0.35">
      <c r="A36" s="2" t="s">
        <v>39</v>
      </c>
      <c r="B36" s="3">
        <v>6.2930000000000001</v>
      </c>
    </row>
    <row r="37" spans="1:2" x14ac:dyDescent="0.35">
      <c r="A37" s="2" t="s">
        <v>40</v>
      </c>
      <c r="B37" s="3">
        <v>6.2619999999999996</v>
      </c>
    </row>
    <row r="38" spans="1:2" x14ac:dyDescent="0.35">
      <c r="A38" s="2" t="s">
        <v>41</v>
      </c>
      <c r="B38" s="3">
        <v>6.2530000000000001</v>
      </c>
    </row>
    <row r="39" spans="1:2" x14ac:dyDescent="0.35">
      <c r="A39" s="2" t="s">
        <v>42</v>
      </c>
      <c r="B39" s="3">
        <v>6.2229999999999999</v>
      </c>
    </row>
    <row r="40" spans="1:2" x14ac:dyDescent="0.35">
      <c r="A40" s="2" t="s">
        <v>43</v>
      </c>
      <c r="B40" s="3">
        <v>6.1989999999999998</v>
      </c>
    </row>
    <row r="41" spans="1:2" x14ac:dyDescent="0.35">
      <c r="A41" s="2" t="s">
        <v>44</v>
      </c>
      <c r="B41" s="3">
        <v>6.1980000000000004</v>
      </c>
    </row>
    <row r="42" spans="1:2" x14ac:dyDescent="0.35">
      <c r="A42" s="2" t="s">
        <v>45</v>
      </c>
      <c r="B42" s="3">
        <v>6.1920000000000002</v>
      </c>
    </row>
    <row r="43" spans="1:2" x14ac:dyDescent="0.35">
      <c r="A43" s="2" t="s">
        <v>46</v>
      </c>
      <c r="B43" s="3">
        <v>6.1820000000000004</v>
      </c>
    </row>
    <row r="44" spans="1:2" x14ac:dyDescent="0.35">
      <c r="A44" s="2" t="s">
        <v>47</v>
      </c>
      <c r="B44" s="3">
        <v>6.1740000000000004</v>
      </c>
    </row>
    <row r="45" spans="1:2" x14ac:dyDescent="0.35">
      <c r="A45" s="2" t="s">
        <v>48</v>
      </c>
      <c r="B45" s="3">
        <v>6.149</v>
      </c>
    </row>
    <row r="46" spans="1:2" x14ac:dyDescent="0.35">
      <c r="A46" s="2" t="s">
        <v>49</v>
      </c>
      <c r="B46" s="3">
        <v>6.125</v>
      </c>
    </row>
    <row r="47" spans="1:2" x14ac:dyDescent="0.35">
      <c r="A47" s="2" t="s">
        <v>50</v>
      </c>
      <c r="B47" s="3">
        <v>6.1180000000000003</v>
      </c>
    </row>
    <row r="48" spans="1:2" x14ac:dyDescent="0.35">
      <c r="A48" s="2" t="s">
        <v>51</v>
      </c>
      <c r="B48" s="3">
        <v>6.1050000000000004</v>
      </c>
    </row>
    <row r="49" spans="1:2" x14ac:dyDescent="0.35">
      <c r="A49" s="2" t="s">
        <v>52</v>
      </c>
      <c r="B49" s="3">
        <v>6.1</v>
      </c>
    </row>
    <row r="50" spans="1:2" x14ac:dyDescent="0.35">
      <c r="A50" s="2" t="s">
        <v>53</v>
      </c>
      <c r="B50" s="3">
        <v>6.0860000000000003</v>
      </c>
    </row>
    <row r="51" spans="1:2" x14ac:dyDescent="0.35">
      <c r="A51" s="2" t="s">
        <v>54</v>
      </c>
      <c r="B51" s="3">
        <v>6.07</v>
      </c>
    </row>
    <row r="52" spans="1:2" x14ac:dyDescent="0.35">
      <c r="A52" s="2" t="s">
        <v>55</v>
      </c>
      <c r="B52" s="3">
        <v>6.0460000000000003</v>
      </c>
    </row>
    <row r="53" spans="1:2" x14ac:dyDescent="0.35">
      <c r="A53" s="2" t="s">
        <v>56</v>
      </c>
      <c r="B53" s="3">
        <v>6.0279999999999996</v>
      </c>
    </row>
    <row r="54" spans="1:2" x14ac:dyDescent="0.35">
      <c r="A54" s="2" t="s">
        <v>57</v>
      </c>
      <c r="B54" s="3">
        <v>6.0209999999999999</v>
      </c>
    </row>
    <row r="55" spans="1:2" x14ac:dyDescent="0.35">
      <c r="A55" s="2" t="s">
        <v>58</v>
      </c>
      <c r="B55" s="3">
        <v>6.008</v>
      </c>
    </row>
    <row r="56" spans="1:2" x14ac:dyDescent="0.35">
      <c r="A56" s="2" t="s">
        <v>59</v>
      </c>
      <c r="B56" s="3">
        <v>5.94</v>
      </c>
    </row>
    <row r="57" spans="1:2" x14ac:dyDescent="0.35">
      <c r="A57" s="2" t="s">
        <v>60</v>
      </c>
      <c r="B57" s="3">
        <v>5.8949999999999996</v>
      </c>
    </row>
    <row r="58" spans="1:2" x14ac:dyDescent="0.35">
      <c r="A58" s="2" t="s">
        <v>61</v>
      </c>
      <c r="B58" s="3">
        <v>5.8929999999999998</v>
      </c>
    </row>
    <row r="59" spans="1:2" x14ac:dyDescent="0.35">
      <c r="A59" s="2" t="s">
        <v>62</v>
      </c>
      <c r="B59" s="3">
        <v>5.89</v>
      </c>
    </row>
    <row r="60" spans="1:2" x14ac:dyDescent="0.35">
      <c r="A60" s="2" t="s">
        <v>63</v>
      </c>
      <c r="B60" s="3">
        <v>5.8879999999999999</v>
      </c>
    </row>
    <row r="61" spans="1:2" x14ac:dyDescent="0.35">
      <c r="A61" s="2" t="s">
        <v>64</v>
      </c>
      <c r="B61" s="3">
        <v>5.8860000000000001</v>
      </c>
    </row>
    <row r="62" spans="1:2" x14ac:dyDescent="0.35">
      <c r="A62" s="2" t="s">
        <v>65</v>
      </c>
      <c r="B62" s="3">
        <v>5.86</v>
      </c>
    </row>
    <row r="63" spans="1:2" x14ac:dyDescent="0.35">
      <c r="A63" s="2" t="s">
        <v>66</v>
      </c>
      <c r="B63" s="3">
        <v>5.8090000000000002</v>
      </c>
    </row>
    <row r="64" spans="1:2" x14ac:dyDescent="0.35">
      <c r="A64" s="2" t="s">
        <v>67</v>
      </c>
      <c r="B64" s="3">
        <v>5.7789999999999999</v>
      </c>
    </row>
    <row r="65" spans="1:2" x14ac:dyDescent="0.35">
      <c r="A65" s="2" t="s">
        <v>68</v>
      </c>
      <c r="B65" s="3">
        <v>5.758</v>
      </c>
    </row>
    <row r="66" spans="1:2" x14ac:dyDescent="0.35">
      <c r="A66" s="2" t="s">
        <v>69</v>
      </c>
      <c r="B66" s="3">
        <v>5.7430000000000003</v>
      </c>
    </row>
    <row r="67" spans="1:2" x14ac:dyDescent="0.35">
      <c r="A67" s="2" t="s">
        <v>70</v>
      </c>
      <c r="B67" s="3">
        <v>5.718</v>
      </c>
    </row>
    <row r="68" spans="1:2" x14ac:dyDescent="0.35">
      <c r="A68" s="2" t="s">
        <v>71</v>
      </c>
      <c r="B68" s="3">
        <v>5.6970000000000001</v>
      </c>
    </row>
    <row r="69" spans="1:2" x14ac:dyDescent="0.35">
      <c r="A69" s="2" t="s">
        <v>72</v>
      </c>
      <c r="B69" s="3">
        <v>5.6929999999999996</v>
      </c>
    </row>
    <row r="70" spans="1:2" x14ac:dyDescent="0.35">
      <c r="A70" s="2" t="s">
        <v>73</v>
      </c>
      <c r="B70" s="3">
        <v>5.6529999999999996</v>
      </c>
    </row>
    <row r="71" spans="1:2" x14ac:dyDescent="0.35">
      <c r="A71" s="2" t="s">
        <v>74</v>
      </c>
      <c r="B71" s="3">
        <v>5.6479999999999997</v>
      </c>
    </row>
    <row r="72" spans="1:2" x14ac:dyDescent="0.35">
      <c r="A72" s="2" t="s">
        <v>75</v>
      </c>
      <c r="B72" s="3">
        <v>5.6310000000000002</v>
      </c>
    </row>
    <row r="73" spans="1:2" x14ac:dyDescent="0.35">
      <c r="A73" s="2" t="s">
        <v>76</v>
      </c>
      <c r="B73" s="3">
        <v>5.6029999999999998</v>
      </c>
    </row>
    <row r="74" spans="1:2" x14ac:dyDescent="0.35">
      <c r="A74" s="2" t="s">
        <v>77</v>
      </c>
      <c r="B74" s="3">
        <v>5.5289999999999999</v>
      </c>
    </row>
    <row r="75" spans="1:2" x14ac:dyDescent="0.35">
      <c r="A75" s="2" t="s">
        <v>78</v>
      </c>
      <c r="B75" s="3">
        <v>5.5250000000000004</v>
      </c>
    </row>
    <row r="76" spans="1:2" x14ac:dyDescent="0.35">
      <c r="A76" s="2" t="s">
        <v>79</v>
      </c>
      <c r="B76" s="3">
        <v>5.5229999999999997</v>
      </c>
    </row>
    <row r="77" spans="1:2" x14ac:dyDescent="0.35">
      <c r="A77" s="2" t="s">
        <v>80</v>
      </c>
      <c r="B77" s="3">
        <v>5.4669999999999996</v>
      </c>
    </row>
    <row r="78" spans="1:2" x14ac:dyDescent="0.35">
      <c r="A78" s="2" t="s">
        <v>81</v>
      </c>
      <c r="B78" s="3">
        <v>5.4320000000000004</v>
      </c>
    </row>
    <row r="79" spans="1:2" x14ac:dyDescent="0.35">
      <c r="A79" s="2" t="s">
        <v>82</v>
      </c>
      <c r="B79" s="3">
        <v>5.43</v>
      </c>
    </row>
    <row r="80" spans="1:2" x14ac:dyDescent="0.35">
      <c r="A80" s="2" t="s">
        <v>83</v>
      </c>
      <c r="B80" s="3">
        <v>5.4249999999999998</v>
      </c>
    </row>
    <row r="81" spans="1:2" x14ac:dyDescent="0.35">
      <c r="A81" s="2" t="s">
        <v>84</v>
      </c>
      <c r="B81" s="3">
        <v>5.3860000000000001</v>
      </c>
    </row>
    <row r="82" spans="1:2" x14ac:dyDescent="0.35">
      <c r="A82" s="2" t="s">
        <v>85</v>
      </c>
      <c r="B82" s="3">
        <v>5.3730000000000002</v>
      </c>
    </row>
    <row r="83" spans="1:2" x14ac:dyDescent="0.35">
      <c r="A83" s="2" t="s">
        <v>86</v>
      </c>
      <c r="B83" s="3">
        <v>5.3390000000000004</v>
      </c>
    </row>
    <row r="84" spans="1:2" x14ac:dyDescent="0.35">
      <c r="A84" s="2" t="s">
        <v>87</v>
      </c>
      <c r="B84" s="3">
        <v>5.3230000000000004</v>
      </c>
    </row>
    <row r="85" spans="1:2" x14ac:dyDescent="0.35">
      <c r="A85" s="2" t="s">
        <v>88</v>
      </c>
      <c r="B85" s="3">
        <v>5.2869999999999999</v>
      </c>
    </row>
    <row r="86" spans="1:2" x14ac:dyDescent="0.35">
      <c r="A86" s="2" t="s">
        <v>89</v>
      </c>
      <c r="B86" s="3">
        <v>5.2850000000000001</v>
      </c>
    </row>
    <row r="87" spans="1:2" x14ac:dyDescent="0.35">
      <c r="A87" s="2" t="s">
        <v>90</v>
      </c>
      <c r="B87" s="3">
        <v>5.274</v>
      </c>
    </row>
    <row r="88" spans="1:2" x14ac:dyDescent="0.35">
      <c r="A88" s="2" t="s">
        <v>91</v>
      </c>
      <c r="B88" s="3">
        <v>5.2649999999999997</v>
      </c>
    </row>
    <row r="89" spans="1:2" x14ac:dyDescent="0.35">
      <c r="A89" s="2" t="s">
        <v>92</v>
      </c>
      <c r="B89" s="3">
        <v>5.2610000000000001</v>
      </c>
    </row>
    <row r="90" spans="1:2" x14ac:dyDescent="0.35">
      <c r="A90" s="2" t="s">
        <v>93</v>
      </c>
      <c r="B90" s="3">
        <v>5.2469999999999999</v>
      </c>
    </row>
    <row r="91" spans="1:2" x14ac:dyDescent="0.35">
      <c r="A91" s="2" t="s">
        <v>94</v>
      </c>
      <c r="B91" s="3">
        <v>5.2110000000000003</v>
      </c>
    </row>
    <row r="92" spans="1:2" x14ac:dyDescent="0.35">
      <c r="A92" s="2" t="s">
        <v>95</v>
      </c>
      <c r="B92" s="3">
        <v>5.2080000000000002</v>
      </c>
    </row>
    <row r="93" spans="1:2" x14ac:dyDescent="0.35">
      <c r="A93" s="2" t="s">
        <v>96</v>
      </c>
      <c r="B93" s="3">
        <v>5.2080000000000002</v>
      </c>
    </row>
    <row r="94" spans="1:2" x14ac:dyDescent="0.35">
      <c r="A94" s="2" t="s">
        <v>97</v>
      </c>
      <c r="B94" s="3">
        <v>5.1970000000000001</v>
      </c>
    </row>
    <row r="95" spans="1:2" x14ac:dyDescent="0.35">
      <c r="A95" s="2" t="s">
        <v>98</v>
      </c>
      <c r="B95" s="3">
        <v>5.1920000000000002</v>
      </c>
    </row>
    <row r="96" spans="1:2" x14ac:dyDescent="0.35">
      <c r="A96" s="2" t="s">
        <v>99</v>
      </c>
      <c r="B96" s="3">
        <v>5.1909999999999998</v>
      </c>
    </row>
    <row r="97" spans="1:2" x14ac:dyDescent="0.35">
      <c r="A97" s="2" t="s">
        <v>100</v>
      </c>
      <c r="B97" s="3">
        <v>5.1749999999999998</v>
      </c>
    </row>
    <row r="98" spans="1:2" x14ac:dyDescent="0.35">
      <c r="A98" s="2" t="s">
        <v>101</v>
      </c>
      <c r="B98" s="3">
        <v>5.0819999999999999</v>
      </c>
    </row>
    <row r="99" spans="1:2" x14ac:dyDescent="0.35">
      <c r="A99" s="2" t="s">
        <v>102</v>
      </c>
      <c r="B99" s="3">
        <v>5.0439999999999996</v>
      </c>
    </row>
    <row r="100" spans="1:2" x14ac:dyDescent="0.35">
      <c r="A100" s="2" t="s">
        <v>103</v>
      </c>
      <c r="B100" s="3">
        <v>5.0110000000000001</v>
      </c>
    </row>
    <row r="101" spans="1:2" x14ac:dyDescent="0.35">
      <c r="A101" s="2" t="s">
        <v>104</v>
      </c>
      <c r="B101" s="3">
        <v>4.9960000000000004</v>
      </c>
    </row>
    <row r="102" spans="1:2" x14ac:dyDescent="0.35">
      <c r="A102" s="2" t="s">
        <v>105</v>
      </c>
      <c r="B102" s="3">
        <v>4.944</v>
      </c>
    </row>
    <row r="103" spans="1:2" x14ac:dyDescent="0.35">
      <c r="A103" s="2" t="s">
        <v>106</v>
      </c>
      <c r="B103" s="3">
        <v>4.9130000000000003</v>
      </c>
    </row>
    <row r="104" spans="1:2" x14ac:dyDescent="0.35">
      <c r="A104" s="2" t="s">
        <v>107</v>
      </c>
      <c r="B104" s="3">
        <v>4.9059999999999997</v>
      </c>
    </row>
    <row r="105" spans="1:2" x14ac:dyDescent="0.35">
      <c r="A105" s="2" t="s">
        <v>108</v>
      </c>
      <c r="B105" s="3">
        <v>4.883</v>
      </c>
    </row>
    <row r="106" spans="1:2" x14ac:dyDescent="0.35">
      <c r="A106" s="2" t="s">
        <v>109</v>
      </c>
      <c r="B106" s="3">
        <v>4.8120000000000003</v>
      </c>
    </row>
    <row r="107" spans="1:2" x14ac:dyDescent="0.35">
      <c r="A107" s="2" t="s">
        <v>110</v>
      </c>
      <c r="B107" s="3">
        <v>4.7990000000000004</v>
      </c>
    </row>
    <row r="108" spans="1:2" x14ac:dyDescent="0.35">
      <c r="A108" s="2" t="s">
        <v>111</v>
      </c>
      <c r="B108" s="3">
        <v>4.7960000000000003</v>
      </c>
    </row>
    <row r="109" spans="1:2" x14ac:dyDescent="0.35">
      <c r="A109" s="2" t="s">
        <v>112</v>
      </c>
      <c r="B109" s="3">
        <v>4.7220000000000004</v>
      </c>
    </row>
    <row r="110" spans="1:2" x14ac:dyDescent="0.35">
      <c r="A110" s="2" t="s">
        <v>113</v>
      </c>
      <c r="B110" s="3">
        <v>4.7190000000000003</v>
      </c>
    </row>
    <row r="111" spans="1:2" x14ac:dyDescent="0.35">
      <c r="A111" s="2" t="s">
        <v>114</v>
      </c>
      <c r="B111" s="3">
        <v>4.7069999999999999</v>
      </c>
    </row>
    <row r="112" spans="1:2" x14ac:dyDescent="0.35">
      <c r="A112" s="2" t="s">
        <v>115</v>
      </c>
      <c r="B112" s="3">
        <v>4.7</v>
      </c>
    </row>
    <row r="113" spans="1:2" x14ac:dyDescent="0.35">
      <c r="A113" s="2" t="s">
        <v>116</v>
      </c>
      <c r="B113" s="3">
        <v>4.6959999999999997</v>
      </c>
    </row>
    <row r="114" spans="1:2" x14ac:dyDescent="0.35">
      <c r="A114" s="2" t="s">
        <v>117</v>
      </c>
      <c r="B114" s="3">
        <v>4.681</v>
      </c>
    </row>
    <row r="115" spans="1:2" x14ac:dyDescent="0.35">
      <c r="A115" s="2" t="s">
        <v>118</v>
      </c>
      <c r="B115" s="3">
        <v>4.6680000000000001</v>
      </c>
    </row>
    <row r="116" spans="1:2" x14ac:dyDescent="0.35">
      <c r="A116" s="2" t="s">
        <v>119</v>
      </c>
      <c r="B116" s="3">
        <v>4.6390000000000002</v>
      </c>
    </row>
    <row r="117" spans="1:2" x14ac:dyDescent="0.35">
      <c r="A117" s="2" t="s">
        <v>120</v>
      </c>
      <c r="B117" s="3">
        <v>4.6280000000000001</v>
      </c>
    </row>
    <row r="118" spans="1:2" x14ac:dyDescent="0.35">
      <c r="A118" s="2" t="s">
        <v>121</v>
      </c>
      <c r="B118" s="3">
        <v>4.5869999999999997</v>
      </c>
    </row>
    <row r="119" spans="1:2" x14ac:dyDescent="0.35">
      <c r="A119" s="2" t="s">
        <v>122</v>
      </c>
      <c r="B119" s="3">
        <v>4.5590000000000002</v>
      </c>
    </row>
    <row r="120" spans="1:2" x14ac:dyDescent="0.35">
      <c r="A120" s="2" t="s">
        <v>123</v>
      </c>
      <c r="B120" s="3">
        <v>4.548</v>
      </c>
    </row>
    <row r="121" spans="1:2" x14ac:dyDescent="0.35">
      <c r="A121" s="2" t="s">
        <v>124</v>
      </c>
      <c r="B121" s="3">
        <v>4.5339999999999998</v>
      </c>
    </row>
    <row r="122" spans="1:2" x14ac:dyDescent="0.35">
      <c r="A122" s="2" t="s">
        <v>125</v>
      </c>
      <c r="B122" s="3">
        <v>4.5190000000000001</v>
      </c>
    </row>
    <row r="123" spans="1:2" x14ac:dyDescent="0.35">
      <c r="A123" s="2" t="s">
        <v>126</v>
      </c>
      <c r="B123" s="3">
        <v>4.516</v>
      </c>
    </row>
    <row r="124" spans="1:2" x14ac:dyDescent="0.35">
      <c r="A124" s="2" t="s">
        <v>127</v>
      </c>
      <c r="B124" s="3">
        <v>4.5090000000000003</v>
      </c>
    </row>
    <row r="125" spans="1:2" x14ac:dyDescent="0.35">
      <c r="A125" s="2" t="s">
        <v>128</v>
      </c>
      <c r="B125" s="3">
        <v>4.49</v>
      </c>
    </row>
    <row r="126" spans="1:2" x14ac:dyDescent="0.35">
      <c r="A126" s="2" t="s">
        <v>129</v>
      </c>
      <c r="B126" s="3">
        <v>4.4660000000000002</v>
      </c>
    </row>
    <row r="127" spans="1:2" x14ac:dyDescent="0.35">
      <c r="A127" s="2" t="s">
        <v>130</v>
      </c>
      <c r="B127" s="3">
        <v>4.4610000000000003</v>
      </c>
    </row>
    <row r="128" spans="1:2" x14ac:dyDescent="0.35">
      <c r="A128" s="2" t="s">
        <v>131</v>
      </c>
      <c r="B128" s="3">
        <v>4.4560000000000004</v>
      </c>
    </row>
    <row r="129" spans="1:2" x14ac:dyDescent="0.35">
      <c r="A129" s="2" t="s">
        <v>132</v>
      </c>
      <c r="B129" s="3">
        <v>4.4370000000000003</v>
      </c>
    </row>
    <row r="130" spans="1:2" x14ac:dyDescent="0.35">
      <c r="A130" s="2" t="s">
        <v>133</v>
      </c>
      <c r="B130" s="3">
        <v>4.4180000000000001</v>
      </c>
    </row>
    <row r="131" spans="1:2" x14ac:dyDescent="0.35">
      <c r="A131" s="2" t="s">
        <v>134</v>
      </c>
      <c r="B131" s="3">
        <v>4.3899999999999997</v>
      </c>
    </row>
    <row r="132" spans="1:2" x14ac:dyDescent="0.35">
      <c r="A132" s="2" t="s">
        <v>135</v>
      </c>
      <c r="B132" s="3">
        <v>4.3739999999999997</v>
      </c>
    </row>
    <row r="133" spans="1:2" x14ac:dyDescent="0.35">
      <c r="A133" s="2" t="s">
        <v>136</v>
      </c>
      <c r="B133" s="3">
        <v>4.3659999999999997</v>
      </c>
    </row>
    <row r="134" spans="1:2" x14ac:dyDescent="0.35">
      <c r="A134" s="2" t="s">
        <v>137</v>
      </c>
      <c r="B134" s="3">
        <v>4.3600000000000003</v>
      </c>
    </row>
    <row r="135" spans="1:2" x14ac:dyDescent="0.35">
      <c r="A135" s="2" t="s">
        <v>138</v>
      </c>
      <c r="B135" s="3">
        <v>4.3499999999999996</v>
      </c>
    </row>
    <row r="136" spans="1:2" x14ac:dyDescent="0.35">
      <c r="A136" s="2" t="s">
        <v>139</v>
      </c>
      <c r="B136" s="3">
        <v>4.3319999999999999</v>
      </c>
    </row>
    <row r="137" spans="1:2" x14ac:dyDescent="0.35">
      <c r="A137" s="2" t="s">
        <v>140</v>
      </c>
      <c r="B137" s="3">
        <v>4.2859999999999996</v>
      </c>
    </row>
    <row r="138" spans="1:2" x14ac:dyDescent="0.35">
      <c r="A138" s="2" t="s">
        <v>141</v>
      </c>
      <c r="B138" s="3">
        <v>4.2119999999999997</v>
      </c>
    </row>
    <row r="139" spans="1:2" x14ac:dyDescent="0.35">
      <c r="A139" s="2" t="s">
        <v>142</v>
      </c>
      <c r="B139" s="3">
        <v>4.1890000000000001</v>
      </c>
    </row>
    <row r="140" spans="1:2" x14ac:dyDescent="0.35">
      <c r="A140" s="2" t="s">
        <v>143</v>
      </c>
      <c r="B140" s="3">
        <v>4.1660000000000004</v>
      </c>
    </row>
    <row r="141" spans="1:2" x14ac:dyDescent="0.35">
      <c r="A141" s="2" t="s">
        <v>144</v>
      </c>
      <c r="B141" s="3">
        <v>4.1070000000000002</v>
      </c>
    </row>
    <row r="142" spans="1:2" x14ac:dyDescent="0.35">
      <c r="A142" s="2" t="s">
        <v>145</v>
      </c>
      <c r="B142" s="3">
        <v>4.085</v>
      </c>
    </row>
    <row r="143" spans="1:2" x14ac:dyDescent="0.35">
      <c r="A143" s="2" t="s">
        <v>146</v>
      </c>
      <c r="B143" s="3">
        <v>4.0149999999999997</v>
      </c>
    </row>
    <row r="144" spans="1:2" x14ac:dyDescent="0.35">
      <c r="A144" s="2" t="s">
        <v>147</v>
      </c>
      <c r="B144" s="3">
        <v>3.9750000000000001</v>
      </c>
    </row>
    <row r="145" spans="1:2" x14ac:dyDescent="0.35">
      <c r="A145" s="2" t="s">
        <v>148</v>
      </c>
      <c r="B145" s="3">
        <v>3.9729999999999999</v>
      </c>
    </row>
    <row r="146" spans="1:2" x14ac:dyDescent="0.35">
      <c r="A146" s="2" t="s">
        <v>149</v>
      </c>
      <c r="B146" s="3">
        <v>3.9329999999999998</v>
      </c>
    </row>
    <row r="147" spans="1:2" x14ac:dyDescent="0.35">
      <c r="A147" s="2" t="s">
        <v>150</v>
      </c>
      <c r="B147" s="3">
        <v>3.802</v>
      </c>
    </row>
    <row r="148" spans="1:2" x14ac:dyDescent="0.35">
      <c r="A148" s="2" t="s">
        <v>151</v>
      </c>
      <c r="B148" s="3">
        <v>3.7749999999999999</v>
      </c>
    </row>
    <row r="149" spans="1:2" x14ac:dyDescent="0.35">
      <c r="A149" s="2" t="s">
        <v>152</v>
      </c>
      <c r="B149" s="3">
        <v>3.6629999999999998</v>
      </c>
    </row>
    <row r="150" spans="1:2" x14ac:dyDescent="0.35">
      <c r="A150" s="2" t="s">
        <v>153</v>
      </c>
      <c r="B150" s="3">
        <v>3.597</v>
      </c>
    </row>
    <row r="151" spans="1:2" x14ac:dyDescent="0.35">
      <c r="A151" s="2" t="s">
        <v>154</v>
      </c>
      <c r="B151" s="3">
        <v>3.488</v>
      </c>
    </row>
    <row r="152" spans="1:2" x14ac:dyDescent="0.35">
      <c r="A152" s="2" t="s">
        <v>155</v>
      </c>
      <c r="B152" s="3">
        <v>3.4620000000000002</v>
      </c>
    </row>
    <row r="153" spans="1:2" x14ac:dyDescent="0.35">
      <c r="A153" s="2" t="s">
        <v>156</v>
      </c>
      <c r="B153" s="3">
        <v>3.41</v>
      </c>
    </row>
    <row r="154" spans="1:2" x14ac:dyDescent="0.35">
      <c r="A154" s="2" t="s">
        <v>157</v>
      </c>
      <c r="B154" s="3">
        <v>3.38</v>
      </c>
    </row>
    <row r="155" spans="1:2" x14ac:dyDescent="0.35">
      <c r="A155" s="2" t="s">
        <v>158</v>
      </c>
      <c r="B155" s="3">
        <v>3.3340000000000001</v>
      </c>
    </row>
    <row r="156" spans="1:2" x14ac:dyDescent="0.35">
      <c r="A156" s="2" t="s">
        <v>159</v>
      </c>
      <c r="B156" s="3">
        <v>3.2309999999999999</v>
      </c>
    </row>
    <row r="157" spans="1:2" x14ac:dyDescent="0.35">
      <c r="A157" s="2" t="s">
        <v>160</v>
      </c>
      <c r="B157" s="3">
        <v>3.2029999999999998</v>
      </c>
    </row>
    <row r="158" spans="1:2" x14ac:dyDescent="0.35">
      <c r="A158" s="2" t="s">
        <v>161</v>
      </c>
      <c r="B158" s="3">
        <v>3.0830000000000002</v>
      </c>
    </row>
    <row r="159" spans="1:2" x14ac:dyDescent="0.35">
      <c r="A159" s="2" t="s">
        <v>162</v>
      </c>
      <c r="B159" s="3">
        <v>2.8530000000000002</v>
      </c>
    </row>
    <row r="160" spans="1:2" x14ac:dyDescent="0.35">
      <c r="A160" s="2" t="s">
        <v>172</v>
      </c>
      <c r="B160" s="3">
        <v>5.4070961538461564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70" zoomScaleNormal="70" workbookViewId="0">
      <selection activeCell="I9" sqref="I9"/>
    </sheetView>
  </sheetViews>
  <sheetFormatPr defaultRowHeight="14.5" x14ac:dyDescent="0.35"/>
  <cols>
    <col min="1" max="1" width="31.90625" customWidth="1"/>
    <col min="4" max="4" width="33.26953125" customWidth="1"/>
  </cols>
  <sheetData>
    <row r="1" spans="1:5" ht="15" thickBot="1" x14ac:dyDescent="0.4"/>
    <row r="2" spans="1:5" ht="19" thickBot="1" x14ac:dyDescent="0.5">
      <c r="A2" s="4" t="s">
        <v>174</v>
      </c>
      <c r="B2" s="5">
        <f>Analysis_data!M3</f>
        <v>5.4070961538461528</v>
      </c>
      <c r="D2" s="4" t="s">
        <v>175</v>
      </c>
      <c r="E2" s="5">
        <f>Analysis_data!M6</f>
        <v>0.90514743589743629</v>
      </c>
    </row>
    <row r="3" spans="1:5" ht="15" thickBot="1" x14ac:dyDescent="0.4"/>
    <row r="4" spans="1:5" ht="19" thickBot="1" x14ac:dyDescent="0.5">
      <c r="A4" s="4" t="s">
        <v>177</v>
      </c>
      <c r="B4" s="5">
        <v>0.90514700000000003</v>
      </c>
      <c r="D4" s="4" t="s">
        <v>176</v>
      </c>
      <c r="E4" s="5">
        <f>Analysis_data!M7</f>
        <v>0.72524358974358982</v>
      </c>
    </row>
    <row r="5" spans="1:5" ht="15" thickBot="1" x14ac:dyDescent="0.4"/>
    <row r="6" spans="1:5" ht="19" thickBot="1" x14ac:dyDescent="0.5">
      <c r="A6" s="4" t="s">
        <v>178</v>
      </c>
      <c r="B6" s="5">
        <f>COUNTA(Happiness_2019_Raw!B2:B156)</f>
        <v>155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0"/>
  <sheetViews>
    <sheetView workbookViewId="0">
      <selection activeCell="B3" sqref="A3:B150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1" t="s">
        <v>171</v>
      </c>
      <c r="B3" t="s">
        <v>173</v>
      </c>
    </row>
    <row r="4" spans="1:2" x14ac:dyDescent="0.35">
      <c r="A4" s="2">
        <v>1.34</v>
      </c>
      <c r="B4" s="3">
        <v>7.7690000000000001</v>
      </c>
    </row>
    <row r="5" spans="1:2" x14ac:dyDescent="0.35">
      <c r="A5" s="2">
        <v>1.383</v>
      </c>
      <c r="B5" s="3">
        <v>7.6</v>
      </c>
    </row>
    <row r="6" spans="1:2" x14ac:dyDescent="0.35">
      <c r="A6" s="2">
        <v>1.488</v>
      </c>
      <c r="B6" s="3">
        <v>7.5540000000000003</v>
      </c>
    </row>
    <row r="7" spans="1:2" x14ac:dyDescent="0.35">
      <c r="A7" s="2">
        <v>1.38</v>
      </c>
      <c r="B7" s="3">
        <v>7.4939999999999998</v>
      </c>
    </row>
    <row r="8" spans="1:2" x14ac:dyDescent="0.35">
      <c r="A8" s="2">
        <v>1.3959999999999999</v>
      </c>
      <c r="B8" s="3">
        <v>7.4880000000000004</v>
      </c>
    </row>
    <row r="9" spans="1:2" x14ac:dyDescent="0.35">
      <c r="A9" s="2">
        <v>1.452</v>
      </c>
      <c r="B9" s="3">
        <v>7.48</v>
      </c>
    </row>
    <row r="10" spans="1:2" x14ac:dyDescent="0.35">
      <c r="A10" s="2">
        <v>1.387</v>
      </c>
      <c r="B10" s="3">
        <v>7.343</v>
      </c>
    </row>
    <row r="11" spans="1:2" x14ac:dyDescent="0.35">
      <c r="A11" s="2">
        <v>1.3029999999999999</v>
      </c>
      <c r="B11" s="3">
        <v>7.3070000000000004</v>
      </c>
    </row>
    <row r="12" spans="1:2" x14ac:dyDescent="0.35">
      <c r="A12" s="2">
        <v>1.365</v>
      </c>
      <c r="B12" s="3">
        <v>7.2779999999999996</v>
      </c>
    </row>
    <row r="13" spans="1:2" x14ac:dyDescent="0.35">
      <c r="A13" s="2">
        <v>1.3759999999999999</v>
      </c>
      <c r="B13" s="3">
        <v>7.2460000000000004</v>
      </c>
    </row>
    <row r="14" spans="1:2" x14ac:dyDescent="0.35">
      <c r="A14" s="2">
        <v>1.3720000000000001</v>
      </c>
      <c r="B14" s="3">
        <v>7.2279999999999998</v>
      </c>
    </row>
    <row r="15" spans="1:2" x14ac:dyDescent="0.35">
      <c r="A15" s="2">
        <v>1.034</v>
      </c>
      <c r="B15" s="3">
        <v>7.1669999999999998</v>
      </c>
    </row>
    <row r="16" spans="1:2" x14ac:dyDescent="0.35">
      <c r="A16" s="2">
        <v>1.276</v>
      </c>
      <c r="B16" s="3">
        <v>7.1390000000000002</v>
      </c>
    </row>
    <row r="17" spans="1:2" x14ac:dyDescent="0.35">
      <c r="A17" s="2">
        <v>1.609</v>
      </c>
      <c r="B17" s="3">
        <v>7.09</v>
      </c>
    </row>
    <row r="18" spans="1:2" x14ac:dyDescent="0.35">
      <c r="A18" s="2">
        <v>1.333</v>
      </c>
      <c r="B18" s="3">
        <v>7.0540000000000003</v>
      </c>
    </row>
    <row r="19" spans="1:2" x14ac:dyDescent="0.35">
      <c r="A19" s="2">
        <v>1.4990000000000001</v>
      </c>
      <c r="B19" s="3">
        <v>7.0209999999999999</v>
      </c>
    </row>
    <row r="20" spans="1:2" x14ac:dyDescent="0.35">
      <c r="A20" s="2">
        <v>1.373</v>
      </c>
      <c r="B20" s="3">
        <v>6.9850000000000003</v>
      </c>
    </row>
    <row r="21" spans="1:2" x14ac:dyDescent="0.35">
      <c r="A21" s="2">
        <v>1.3560000000000001</v>
      </c>
      <c r="B21" s="3">
        <v>6.923</v>
      </c>
    </row>
    <row r="22" spans="1:2" x14ac:dyDescent="0.35">
      <c r="A22" s="2">
        <v>1.4330000000000001</v>
      </c>
      <c r="B22" s="3">
        <v>6.8920000000000003</v>
      </c>
    </row>
    <row r="23" spans="1:2" x14ac:dyDescent="0.35">
      <c r="A23" s="2">
        <v>1.2689999999999999</v>
      </c>
      <c r="B23" s="3">
        <v>6.8520000000000003</v>
      </c>
    </row>
    <row r="24" spans="1:2" x14ac:dyDescent="0.35">
      <c r="A24" s="2">
        <v>1.5029999999999999</v>
      </c>
      <c r="B24" s="3">
        <v>6.8250000000000002</v>
      </c>
    </row>
    <row r="25" spans="1:2" x14ac:dyDescent="0.35">
      <c r="A25" s="2">
        <v>1.3</v>
      </c>
      <c r="B25" s="3">
        <v>6.726</v>
      </c>
    </row>
    <row r="26" spans="1:2" x14ac:dyDescent="0.35">
      <c r="A26" s="2">
        <v>1.07</v>
      </c>
      <c r="B26" s="3">
        <v>6.5949999999999998</v>
      </c>
    </row>
    <row r="27" spans="1:2" x14ac:dyDescent="0.35">
      <c r="A27" s="2">
        <v>1.3240000000000001</v>
      </c>
      <c r="B27" s="3">
        <v>6.5919999999999996</v>
      </c>
    </row>
    <row r="28" spans="1:2" x14ac:dyDescent="0.35">
      <c r="A28" s="2">
        <v>1.3680000000000001</v>
      </c>
      <c r="B28" s="3">
        <v>6.4459999999999997</v>
      </c>
    </row>
    <row r="29" spans="1:2" x14ac:dyDescent="0.35">
      <c r="A29" s="2">
        <v>1.159</v>
      </c>
      <c r="B29" s="3">
        <v>6.444</v>
      </c>
    </row>
    <row r="30" spans="1:2" x14ac:dyDescent="0.35">
      <c r="A30" s="2">
        <v>0.8</v>
      </c>
      <c r="B30" s="3">
        <v>6.4359999999999999</v>
      </c>
    </row>
    <row r="31" spans="1:2" x14ac:dyDescent="0.35">
      <c r="A31" s="2">
        <v>1.403</v>
      </c>
      <c r="B31" s="3">
        <v>6.375</v>
      </c>
    </row>
    <row r="32" spans="1:2" x14ac:dyDescent="0.35">
      <c r="A32" s="2">
        <v>1.6839999999999999</v>
      </c>
      <c r="B32" s="3">
        <v>6.3739999999999997</v>
      </c>
    </row>
    <row r="33" spans="1:2" x14ac:dyDescent="0.35">
      <c r="A33" s="2">
        <v>1.286</v>
      </c>
      <c r="B33" s="3">
        <v>6.3540000000000001</v>
      </c>
    </row>
    <row r="34" spans="1:2" x14ac:dyDescent="0.35">
      <c r="A34" s="2">
        <v>1.149</v>
      </c>
      <c r="B34" s="3">
        <v>6.3209999999999997</v>
      </c>
    </row>
    <row r="35" spans="1:2" x14ac:dyDescent="0.35">
      <c r="A35" s="2">
        <v>1.1240000000000001</v>
      </c>
      <c r="B35" s="3">
        <v>6.2930000000000001</v>
      </c>
    </row>
    <row r="36" spans="1:2" x14ac:dyDescent="0.35">
      <c r="A36" s="2">
        <v>1.5720000000000001</v>
      </c>
      <c r="B36" s="3">
        <v>6.2619999999999996</v>
      </c>
    </row>
    <row r="37" spans="1:2" x14ac:dyDescent="0.35">
      <c r="A37" s="2">
        <v>0.79400000000000004</v>
      </c>
      <c r="B37" s="3">
        <v>6.2530000000000001</v>
      </c>
    </row>
    <row r="38" spans="1:2" x14ac:dyDescent="0.35">
      <c r="A38" s="2">
        <v>1.294</v>
      </c>
      <c r="B38" s="3">
        <v>6.2229999999999999</v>
      </c>
    </row>
    <row r="39" spans="1:2" x14ac:dyDescent="0.35">
      <c r="A39" s="2">
        <v>1.3620000000000001</v>
      </c>
      <c r="B39" s="3">
        <v>6.1989999999999998</v>
      </c>
    </row>
    <row r="40" spans="1:2" x14ac:dyDescent="0.35">
      <c r="A40" s="2">
        <v>1.246</v>
      </c>
      <c r="B40" s="3">
        <v>6.1980000000000004</v>
      </c>
    </row>
    <row r="41" spans="1:2" x14ac:dyDescent="0.35">
      <c r="A41" s="2">
        <v>1.2310000000000001</v>
      </c>
      <c r="B41" s="3">
        <v>6.1920000000000002</v>
      </c>
    </row>
    <row r="42" spans="1:2" x14ac:dyDescent="0.35">
      <c r="A42" s="2">
        <v>1.206</v>
      </c>
      <c r="B42" s="3">
        <v>6.1820000000000004</v>
      </c>
    </row>
    <row r="43" spans="1:2" x14ac:dyDescent="0.35">
      <c r="A43" s="2">
        <v>0.745</v>
      </c>
      <c r="B43" s="3">
        <v>6.1740000000000004</v>
      </c>
    </row>
    <row r="44" spans="1:2" x14ac:dyDescent="0.35">
      <c r="A44" s="2">
        <v>1.238</v>
      </c>
      <c r="B44" s="3">
        <v>6.149</v>
      </c>
    </row>
    <row r="45" spans="1:2" x14ac:dyDescent="0.35">
      <c r="A45" s="2">
        <v>0.98499999999999999</v>
      </c>
      <c r="B45" s="3">
        <v>6.125</v>
      </c>
    </row>
    <row r="46" spans="1:2" x14ac:dyDescent="0.35">
      <c r="A46" s="2">
        <v>1.258</v>
      </c>
      <c r="B46" s="3">
        <v>6.1180000000000003</v>
      </c>
    </row>
    <row r="47" spans="1:2" x14ac:dyDescent="0.35">
      <c r="A47" s="2">
        <v>0.69399999999999995</v>
      </c>
      <c r="B47" s="3">
        <v>6.1050000000000004</v>
      </c>
    </row>
    <row r="48" spans="1:2" x14ac:dyDescent="0.35">
      <c r="A48" s="2">
        <v>0.88200000000000001</v>
      </c>
      <c r="B48" s="3">
        <v>6.1</v>
      </c>
    </row>
    <row r="49" spans="1:2" x14ac:dyDescent="0.35">
      <c r="A49" s="2">
        <v>1.1619999999999999</v>
      </c>
      <c r="B49" s="3">
        <v>6.07</v>
      </c>
    </row>
    <row r="50" spans="1:2" x14ac:dyDescent="0.35">
      <c r="A50" s="2">
        <v>0.91200000000000003</v>
      </c>
      <c r="B50" s="3">
        <v>6.0279999999999996</v>
      </c>
    </row>
    <row r="51" spans="1:2" x14ac:dyDescent="0.35">
      <c r="A51" s="2">
        <v>1.5</v>
      </c>
      <c r="B51" s="3">
        <v>6.0209999999999999</v>
      </c>
    </row>
    <row r="52" spans="1:2" x14ac:dyDescent="0.35">
      <c r="A52" s="2">
        <v>1.05</v>
      </c>
      <c r="B52" s="3">
        <v>6.008</v>
      </c>
    </row>
    <row r="53" spans="1:2" x14ac:dyDescent="0.35">
      <c r="A53" s="2">
        <v>1.004</v>
      </c>
      <c r="B53" s="3">
        <v>5.9514999999999993</v>
      </c>
    </row>
    <row r="54" spans="1:2" x14ac:dyDescent="0.35">
      <c r="A54" s="2">
        <v>1.1870000000000001</v>
      </c>
      <c r="B54" s="3">
        <v>5.94</v>
      </c>
    </row>
    <row r="55" spans="1:2" x14ac:dyDescent="0.35">
      <c r="A55" s="2">
        <v>1.3009999999999999</v>
      </c>
      <c r="B55" s="3">
        <v>5.8949999999999996</v>
      </c>
    </row>
    <row r="56" spans="1:2" x14ac:dyDescent="0.35">
      <c r="A56" s="2">
        <v>1.2370000000000001</v>
      </c>
      <c r="B56" s="3">
        <v>5.8929999999999998</v>
      </c>
    </row>
    <row r="57" spans="1:2" x14ac:dyDescent="0.35">
      <c r="A57" s="2">
        <v>0.83099999999999996</v>
      </c>
      <c r="B57" s="3">
        <v>5.89</v>
      </c>
    </row>
    <row r="58" spans="1:2" x14ac:dyDescent="0.35">
      <c r="A58" s="2">
        <v>1.1200000000000001</v>
      </c>
      <c r="B58" s="3">
        <v>5.8879999999999999</v>
      </c>
    </row>
    <row r="59" spans="1:2" x14ac:dyDescent="0.35">
      <c r="A59" s="2">
        <v>1.327</v>
      </c>
      <c r="B59" s="3">
        <v>5.8860000000000001</v>
      </c>
    </row>
    <row r="60" spans="1:2" x14ac:dyDescent="0.35">
      <c r="A60" s="2">
        <v>1.2629999999999999</v>
      </c>
      <c r="B60" s="3">
        <v>5.8819999999999997</v>
      </c>
    </row>
    <row r="61" spans="1:2" x14ac:dyDescent="0.35">
      <c r="A61" s="2">
        <v>0.64200000000000002</v>
      </c>
      <c r="B61" s="3">
        <v>5.86</v>
      </c>
    </row>
    <row r="62" spans="1:2" x14ac:dyDescent="0.35">
      <c r="A62" s="2">
        <v>1.173</v>
      </c>
      <c r="B62" s="3">
        <v>5.8090000000000002</v>
      </c>
    </row>
    <row r="63" spans="1:2" x14ac:dyDescent="0.35">
      <c r="A63" s="2">
        <v>0.77600000000000002</v>
      </c>
      <c r="B63" s="3">
        <v>5.7789999999999999</v>
      </c>
    </row>
    <row r="64" spans="1:2" x14ac:dyDescent="0.35">
      <c r="A64" s="2">
        <v>1.2010000000000001</v>
      </c>
      <c r="B64" s="3">
        <v>5.758</v>
      </c>
    </row>
    <row r="65" spans="1:2" x14ac:dyDescent="0.35">
      <c r="A65" s="2">
        <v>0.85499999999999998</v>
      </c>
      <c r="B65" s="3">
        <v>5.7430000000000003</v>
      </c>
    </row>
    <row r="66" spans="1:2" x14ac:dyDescent="0.35">
      <c r="A66" s="2">
        <v>0.67700000000000005</v>
      </c>
      <c r="B66" s="3">
        <v>5.6529999999999996</v>
      </c>
    </row>
    <row r="67" spans="1:2" x14ac:dyDescent="0.35">
      <c r="A67" s="2">
        <v>0.80700000000000005</v>
      </c>
      <c r="B67" s="3">
        <v>5.6310000000000002</v>
      </c>
    </row>
    <row r="68" spans="1:2" x14ac:dyDescent="0.35">
      <c r="A68" s="2">
        <v>1.0920000000000001</v>
      </c>
      <c r="B68" s="3">
        <v>5.5485000000000007</v>
      </c>
    </row>
    <row r="69" spans="1:2" x14ac:dyDescent="0.35">
      <c r="A69" s="2">
        <v>0.68500000000000005</v>
      </c>
      <c r="B69" s="3">
        <v>5.5289999999999999</v>
      </c>
    </row>
    <row r="70" spans="1:2" x14ac:dyDescent="0.35">
      <c r="A70" s="2">
        <v>1.044</v>
      </c>
      <c r="B70" s="3">
        <v>5.5250000000000004</v>
      </c>
    </row>
    <row r="71" spans="1:2" x14ac:dyDescent="0.35">
      <c r="A71" s="2">
        <v>1.0509999999999999</v>
      </c>
      <c r="B71" s="3">
        <v>5.5229999999999997</v>
      </c>
    </row>
    <row r="72" spans="1:2" x14ac:dyDescent="0.35">
      <c r="A72" s="2">
        <v>1.2210000000000001</v>
      </c>
      <c r="B72" s="3">
        <v>5.516</v>
      </c>
    </row>
    <row r="73" spans="1:2" x14ac:dyDescent="0.35">
      <c r="A73" s="2">
        <v>1.1830000000000001</v>
      </c>
      <c r="B73" s="3">
        <v>5.5105000000000004</v>
      </c>
    </row>
    <row r="74" spans="1:2" x14ac:dyDescent="0.35">
      <c r="A74" s="2">
        <v>0.49299999999999999</v>
      </c>
      <c r="B74" s="3">
        <v>5.4669999999999996</v>
      </c>
    </row>
    <row r="75" spans="1:2" x14ac:dyDescent="0.35">
      <c r="A75" s="2">
        <v>1.155</v>
      </c>
      <c r="B75" s="3">
        <v>5.4320000000000004</v>
      </c>
    </row>
    <row r="76" spans="1:2" x14ac:dyDescent="0.35">
      <c r="A76" s="2">
        <v>1.4379999999999999</v>
      </c>
      <c r="B76" s="3">
        <v>5.43</v>
      </c>
    </row>
    <row r="77" spans="1:2" x14ac:dyDescent="0.35">
      <c r="A77" s="2">
        <v>1.0149999999999999</v>
      </c>
      <c r="B77" s="3">
        <v>5.4249999999999998</v>
      </c>
    </row>
    <row r="78" spans="1:2" x14ac:dyDescent="0.35">
      <c r="A78" s="2">
        <v>0.94499999999999995</v>
      </c>
      <c r="B78" s="3">
        <v>5.3860000000000001</v>
      </c>
    </row>
    <row r="79" spans="1:2" x14ac:dyDescent="0.35">
      <c r="A79" s="2">
        <v>1.0669999999999999</v>
      </c>
      <c r="B79" s="3">
        <v>5.3230000000000004</v>
      </c>
    </row>
    <row r="80" spans="1:2" x14ac:dyDescent="0.35">
      <c r="A80" s="2">
        <v>1.181</v>
      </c>
      <c r="B80" s="3">
        <v>5.2869999999999999</v>
      </c>
    </row>
    <row r="81" spans="1:2" x14ac:dyDescent="0.35">
      <c r="A81" s="2">
        <v>0.94799999999999995</v>
      </c>
      <c r="B81" s="3">
        <v>5.2850000000000001</v>
      </c>
    </row>
    <row r="82" spans="1:2" x14ac:dyDescent="0.35">
      <c r="A82" s="2">
        <v>0.98299999999999998</v>
      </c>
      <c r="B82" s="3">
        <v>5.274</v>
      </c>
    </row>
    <row r="83" spans="1:2" x14ac:dyDescent="0.35">
      <c r="A83" s="2">
        <v>0.69599999999999995</v>
      </c>
      <c r="B83" s="3">
        <v>5.2649999999999997</v>
      </c>
    </row>
    <row r="84" spans="1:2" x14ac:dyDescent="0.35">
      <c r="A84" s="2">
        <v>0.55100000000000005</v>
      </c>
      <c r="B84" s="3">
        <v>5.2610000000000001</v>
      </c>
    </row>
    <row r="85" spans="1:2" x14ac:dyDescent="0.35">
      <c r="A85" s="2">
        <v>1.052</v>
      </c>
      <c r="B85" s="3">
        <v>5.2469999999999999</v>
      </c>
    </row>
    <row r="86" spans="1:2" x14ac:dyDescent="0.35">
      <c r="A86" s="2">
        <v>1.002</v>
      </c>
      <c r="B86" s="3">
        <v>5.2110000000000003</v>
      </c>
    </row>
    <row r="87" spans="1:2" x14ac:dyDescent="0.35">
      <c r="A87" s="2">
        <v>0.80100000000000005</v>
      </c>
      <c r="B87" s="3">
        <v>5.2080000000000002</v>
      </c>
    </row>
    <row r="88" spans="1:2" x14ac:dyDescent="0.35">
      <c r="A88" s="2">
        <v>0.98699999999999999</v>
      </c>
      <c r="B88" s="3">
        <v>5.1970000000000001</v>
      </c>
    </row>
    <row r="89" spans="1:2" x14ac:dyDescent="0.35">
      <c r="A89" s="2">
        <v>0.93100000000000005</v>
      </c>
      <c r="B89" s="3">
        <v>5.1920000000000002</v>
      </c>
    </row>
    <row r="90" spans="1:2" x14ac:dyDescent="0.35">
      <c r="A90" s="2">
        <v>1.0289999999999999</v>
      </c>
      <c r="B90" s="3">
        <v>5.1909999999999998</v>
      </c>
    </row>
    <row r="91" spans="1:2" x14ac:dyDescent="0.35">
      <c r="A91" s="2">
        <v>0.74099999999999999</v>
      </c>
      <c r="B91" s="3">
        <v>5.1749999999999998</v>
      </c>
    </row>
    <row r="92" spans="1:2" x14ac:dyDescent="0.35">
      <c r="A92" s="2">
        <v>0.81299999999999994</v>
      </c>
      <c r="B92" s="3">
        <v>5.0819999999999999</v>
      </c>
    </row>
    <row r="93" spans="1:2" x14ac:dyDescent="0.35">
      <c r="A93" s="2">
        <v>0.54900000000000004</v>
      </c>
      <c r="B93" s="3">
        <v>5.0439999999999996</v>
      </c>
    </row>
    <row r="94" spans="1:2" x14ac:dyDescent="0.35">
      <c r="A94" s="2">
        <v>0.96</v>
      </c>
      <c r="B94" s="3">
        <v>5.0420000000000007</v>
      </c>
    </row>
    <row r="95" spans="1:2" x14ac:dyDescent="0.35">
      <c r="A95" s="2">
        <v>0.61099999999999999</v>
      </c>
      <c r="B95" s="3">
        <v>4.9960000000000004</v>
      </c>
    </row>
    <row r="96" spans="1:2" x14ac:dyDescent="0.35">
      <c r="A96" s="2">
        <v>0.56899999999999995</v>
      </c>
      <c r="B96" s="3">
        <v>4.944</v>
      </c>
    </row>
    <row r="97" spans="1:2" x14ac:dyDescent="0.35">
      <c r="A97" s="2">
        <v>0.44600000000000001</v>
      </c>
      <c r="B97" s="3">
        <v>4.9130000000000003</v>
      </c>
    </row>
    <row r="98" spans="1:2" x14ac:dyDescent="0.35">
      <c r="A98" s="2">
        <v>0.83699999999999997</v>
      </c>
      <c r="B98" s="3">
        <v>4.9059999999999997</v>
      </c>
    </row>
    <row r="99" spans="1:2" x14ac:dyDescent="0.35">
      <c r="A99" s="2">
        <v>0.39300000000000002</v>
      </c>
      <c r="B99" s="3">
        <v>4.883</v>
      </c>
    </row>
    <row r="100" spans="1:2" x14ac:dyDescent="0.35">
      <c r="A100" s="2">
        <v>1.0429999999999999</v>
      </c>
      <c r="B100" s="3">
        <v>4.8224999999999998</v>
      </c>
    </row>
    <row r="101" spans="1:2" x14ac:dyDescent="0.35">
      <c r="A101" s="2">
        <v>0.67300000000000004</v>
      </c>
      <c r="B101" s="3">
        <v>4.8120000000000003</v>
      </c>
    </row>
    <row r="102" spans="1:2" x14ac:dyDescent="0.35">
      <c r="A102" s="2">
        <v>1.0569999999999999</v>
      </c>
      <c r="B102" s="3">
        <v>4.7990000000000004</v>
      </c>
    </row>
    <row r="103" spans="1:2" x14ac:dyDescent="0.35">
      <c r="A103" s="2">
        <v>0.76400000000000001</v>
      </c>
      <c r="B103" s="3">
        <v>4.7960000000000003</v>
      </c>
    </row>
    <row r="104" spans="1:2" x14ac:dyDescent="0.35">
      <c r="A104" s="2">
        <v>0.94699999999999995</v>
      </c>
      <c r="B104" s="3">
        <v>4.7190000000000003</v>
      </c>
    </row>
    <row r="105" spans="1:2" x14ac:dyDescent="0.35">
      <c r="A105" s="2">
        <v>0.57399999999999995</v>
      </c>
      <c r="B105" s="3">
        <v>4.7</v>
      </c>
    </row>
    <row r="106" spans="1:2" x14ac:dyDescent="0.35">
      <c r="A106" s="2">
        <v>0.65700000000000003</v>
      </c>
      <c r="B106" s="3">
        <v>4.6959999999999997</v>
      </c>
    </row>
    <row r="107" spans="1:2" x14ac:dyDescent="0.35">
      <c r="A107" s="2">
        <v>0.45</v>
      </c>
      <c r="B107" s="3">
        <v>4.681</v>
      </c>
    </row>
    <row r="108" spans="1:2" x14ac:dyDescent="0.35">
      <c r="A108" s="2">
        <v>0</v>
      </c>
      <c r="B108" s="3">
        <v>4.6680000000000001</v>
      </c>
    </row>
    <row r="109" spans="1:2" x14ac:dyDescent="0.35">
      <c r="A109" s="2">
        <v>0.879</v>
      </c>
      <c r="B109" s="3">
        <v>4.6390000000000002</v>
      </c>
    </row>
    <row r="110" spans="1:2" x14ac:dyDescent="0.35">
      <c r="A110" s="2">
        <v>0.13800000000000001</v>
      </c>
      <c r="B110" s="3">
        <v>4.6280000000000001</v>
      </c>
    </row>
    <row r="111" spans="1:2" x14ac:dyDescent="0.35">
      <c r="A111" s="2">
        <v>0.33100000000000002</v>
      </c>
      <c r="B111" s="3">
        <v>4.5869999999999997</v>
      </c>
    </row>
    <row r="112" spans="1:2" x14ac:dyDescent="0.35">
      <c r="A112" s="2">
        <v>0.85</v>
      </c>
      <c r="B112" s="3">
        <v>4.5590000000000002</v>
      </c>
    </row>
    <row r="113" spans="1:2" x14ac:dyDescent="0.35">
      <c r="A113" s="2">
        <v>1.1000000000000001</v>
      </c>
      <c r="B113" s="3">
        <v>4.548</v>
      </c>
    </row>
    <row r="114" spans="1:2" x14ac:dyDescent="0.35">
      <c r="A114" s="2">
        <v>0.38</v>
      </c>
      <c r="B114" s="3">
        <v>4.5339999999999998</v>
      </c>
    </row>
    <row r="115" spans="1:2" x14ac:dyDescent="0.35">
      <c r="A115" s="2">
        <v>0.88600000000000001</v>
      </c>
      <c r="B115" s="3">
        <v>4.5190000000000001</v>
      </c>
    </row>
    <row r="116" spans="1:2" x14ac:dyDescent="0.35">
      <c r="A116" s="2">
        <v>0.308</v>
      </c>
      <c r="B116" s="3">
        <v>4.516</v>
      </c>
    </row>
    <row r="117" spans="1:2" x14ac:dyDescent="0.35">
      <c r="A117" s="2">
        <v>0.51200000000000001</v>
      </c>
      <c r="B117" s="3">
        <v>4.5090000000000003</v>
      </c>
    </row>
    <row r="118" spans="1:2" x14ac:dyDescent="0.35">
      <c r="A118" s="2">
        <v>0.56999999999999995</v>
      </c>
      <c r="B118" s="3">
        <v>4.49</v>
      </c>
    </row>
    <row r="119" spans="1:2" x14ac:dyDescent="0.35">
      <c r="A119" s="2">
        <v>0.20399999999999999</v>
      </c>
      <c r="B119" s="3">
        <v>4.4660000000000002</v>
      </c>
    </row>
    <row r="120" spans="1:2" x14ac:dyDescent="0.35">
      <c r="A120" s="2">
        <v>0.92100000000000004</v>
      </c>
      <c r="B120" s="3">
        <v>4.4610000000000003</v>
      </c>
    </row>
    <row r="121" spans="1:2" x14ac:dyDescent="0.35">
      <c r="A121" s="2">
        <v>0.56200000000000006</v>
      </c>
      <c r="B121" s="3">
        <v>4.4560000000000004</v>
      </c>
    </row>
    <row r="122" spans="1:2" x14ac:dyDescent="0.35">
      <c r="A122" s="2">
        <v>9.4E-2</v>
      </c>
      <c r="B122" s="3">
        <v>4.4180000000000001</v>
      </c>
    </row>
    <row r="123" spans="1:2" x14ac:dyDescent="0.35">
      <c r="A123" s="2">
        <v>0.38500000000000001</v>
      </c>
      <c r="B123" s="3">
        <v>4.3899999999999997</v>
      </c>
    </row>
    <row r="124" spans="1:2" x14ac:dyDescent="0.35">
      <c r="A124" s="2">
        <v>0.26800000000000002</v>
      </c>
      <c r="B124" s="3">
        <v>4.3739999999999997</v>
      </c>
    </row>
    <row r="125" spans="1:2" x14ac:dyDescent="0.35">
      <c r="A125" s="2">
        <v>0.94899999999999995</v>
      </c>
      <c r="B125" s="3">
        <v>4.3659999999999997</v>
      </c>
    </row>
    <row r="126" spans="1:2" x14ac:dyDescent="0.35">
      <c r="A126" s="2">
        <v>0.71</v>
      </c>
      <c r="B126" s="3">
        <v>4.3600000000000003</v>
      </c>
    </row>
    <row r="127" spans="1:2" x14ac:dyDescent="0.35">
      <c r="A127" s="2">
        <v>0.82</v>
      </c>
      <c r="B127" s="3">
        <v>4.3319999999999999</v>
      </c>
    </row>
    <row r="128" spans="1:2" x14ac:dyDescent="0.35">
      <c r="A128" s="2">
        <v>0.33600000000000002</v>
      </c>
      <c r="B128" s="3">
        <v>4.2859999999999996</v>
      </c>
    </row>
    <row r="129" spans="1:2" x14ac:dyDescent="0.35">
      <c r="A129" s="2">
        <v>0.81100000000000005</v>
      </c>
      <c r="B129" s="3">
        <v>4.2119999999999997</v>
      </c>
    </row>
    <row r="130" spans="1:2" x14ac:dyDescent="0.35">
      <c r="A130" s="2">
        <v>0.33200000000000002</v>
      </c>
      <c r="B130" s="3">
        <v>4.1890000000000001</v>
      </c>
    </row>
    <row r="131" spans="1:2" x14ac:dyDescent="0.35">
      <c r="A131" s="2">
        <v>0.91300000000000003</v>
      </c>
      <c r="B131" s="3">
        <v>4.1660000000000004</v>
      </c>
    </row>
    <row r="132" spans="1:2" x14ac:dyDescent="0.35">
      <c r="A132" s="2">
        <v>0.57799999999999996</v>
      </c>
      <c r="B132" s="3">
        <v>4.1070000000000002</v>
      </c>
    </row>
    <row r="133" spans="1:2" x14ac:dyDescent="0.35">
      <c r="A133" s="2">
        <v>0.27500000000000002</v>
      </c>
      <c r="B133" s="3">
        <v>4.085</v>
      </c>
    </row>
    <row r="134" spans="1:2" x14ac:dyDescent="0.35">
      <c r="A134" s="2">
        <v>0.755</v>
      </c>
      <c r="B134" s="3">
        <v>4.0149999999999997</v>
      </c>
    </row>
    <row r="135" spans="1:2" x14ac:dyDescent="0.35">
      <c r="A135" s="2">
        <v>7.2999999999999995E-2</v>
      </c>
      <c r="B135" s="3">
        <v>3.9750000000000001</v>
      </c>
    </row>
    <row r="136" spans="1:2" x14ac:dyDescent="0.35">
      <c r="A136" s="2">
        <v>0.27400000000000002</v>
      </c>
      <c r="B136" s="3">
        <v>3.9529999999999998</v>
      </c>
    </row>
    <row r="137" spans="1:2" x14ac:dyDescent="0.35">
      <c r="A137" s="2">
        <v>0.48899999999999999</v>
      </c>
      <c r="B137" s="3">
        <v>3.802</v>
      </c>
    </row>
    <row r="138" spans="1:2" x14ac:dyDescent="0.35">
      <c r="A138" s="2">
        <v>0.35</v>
      </c>
      <c r="B138" s="3">
        <v>3.7764999999999995</v>
      </c>
    </row>
    <row r="139" spans="1:2" x14ac:dyDescent="0.35">
      <c r="A139" s="2">
        <v>4.5999999999999999E-2</v>
      </c>
      <c r="B139" s="3">
        <v>3.7749999999999999</v>
      </c>
    </row>
    <row r="140" spans="1:2" x14ac:dyDescent="0.35">
      <c r="A140" s="2">
        <v>0.36599999999999999</v>
      </c>
      <c r="B140" s="3">
        <v>3.6629999999999998</v>
      </c>
    </row>
    <row r="141" spans="1:2" x14ac:dyDescent="0.35">
      <c r="A141" s="2">
        <v>0.32300000000000001</v>
      </c>
      <c r="B141" s="3">
        <v>3.597</v>
      </c>
    </row>
    <row r="142" spans="1:2" x14ac:dyDescent="0.35">
      <c r="A142" s="2">
        <v>1.0409999999999999</v>
      </c>
      <c r="B142" s="3">
        <v>3.488</v>
      </c>
    </row>
    <row r="143" spans="1:2" x14ac:dyDescent="0.35">
      <c r="A143" s="2">
        <v>0.61899999999999999</v>
      </c>
      <c r="B143" s="3">
        <v>3.4620000000000002</v>
      </c>
    </row>
    <row r="144" spans="1:2" x14ac:dyDescent="0.35">
      <c r="A144" s="2">
        <v>0.191</v>
      </c>
      <c r="B144" s="3">
        <v>3.41</v>
      </c>
    </row>
    <row r="145" spans="1:2" x14ac:dyDescent="0.35">
      <c r="A145" s="2">
        <v>0.28699999999999998</v>
      </c>
      <c r="B145" s="3">
        <v>3.38</v>
      </c>
    </row>
    <row r="146" spans="1:2" x14ac:dyDescent="0.35">
      <c r="A146" s="2">
        <v>0.35899999999999999</v>
      </c>
      <c r="B146" s="3">
        <v>3.3340000000000001</v>
      </c>
    </row>
    <row r="147" spans="1:2" x14ac:dyDescent="0.35">
      <c r="A147" s="2">
        <v>0.47599999999999998</v>
      </c>
      <c r="B147" s="3">
        <v>3.2309999999999999</v>
      </c>
    </row>
    <row r="148" spans="1:2" x14ac:dyDescent="0.35">
      <c r="A148" s="2">
        <v>2.5999999999999999E-2</v>
      </c>
      <c r="B148" s="3">
        <v>3.0830000000000002</v>
      </c>
    </row>
    <row r="149" spans="1:2" x14ac:dyDescent="0.35">
      <c r="A149" s="2">
        <v>0.30599999999999999</v>
      </c>
      <c r="B149" s="3">
        <v>2.8530000000000002</v>
      </c>
    </row>
    <row r="150" spans="1:2" x14ac:dyDescent="0.35">
      <c r="A150" s="2" t="s">
        <v>172</v>
      </c>
      <c r="B150" s="3">
        <v>5.4070961538461555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9"/>
  <sheetViews>
    <sheetView workbookViewId="0">
      <selection activeCell="B2" sqref="B2:C149"/>
    </sheetView>
  </sheetViews>
  <sheetFormatPr defaultRowHeight="14.5" x14ac:dyDescent="0.35"/>
  <cols>
    <col min="2" max="2" width="12.81640625" customWidth="1"/>
    <col min="3" max="3" width="15.1796875" customWidth="1"/>
  </cols>
  <sheetData>
    <row r="2" spans="2:3" x14ac:dyDescent="0.35">
      <c r="B2" s="1" t="s">
        <v>171</v>
      </c>
      <c r="C2" t="s">
        <v>173</v>
      </c>
    </row>
    <row r="3" spans="2:3" x14ac:dyDescent="0.35">
      <c r="B3" s="2">
        <v>1.34</v>
      </c>
      <c r="C3" s="3">
        <v>7.7690000000000001</v>
      </c>
    </row>
    <row r="4" spans="2:3" x14ac:dyDescent="0.35">
      <c r="B4" s="2">
        <v>1.383</v>
      </c>
      <c r="C4" s="3">
        <v>7.6</v>
      </c>
    </row>
    <row r="5" spans="2:3" x14ac:dyDescent="0.35">
      <c r="B5" s="2">
        <v>1.488</v>
      </c>
      <c r="C5" s="3">
        <v>7.5540000000000003</v>
      </c>
    </row>
    <row r="6" spans="2:3" x14ac:dyDescent="0.35">
      <c r="B6" s="2">
        <v>1.38</v>
      </c>
      <c r="C6" s="3">
        <v>7.4939999999999998</v>
      </c>
    </row>
    <row r="7" spans="2:3" x14ac:dyDescent="0.35">
      <c r="B7" s="2">
        <v>1.3959999999999999</v>
      </c>
      <c r="C7" s="3">
        <v>7.4880000000000004</v>
      </c>
    </row>
    <row r="8" spans="2:3" x14ac:dyDescent="0.35">
      <c r="B8" s="2">
        <v>1.452</v>
      </c>
      <c r="C8" s="3">
        <v>7.48</v>
      </c>
    </row>
    <row r="9" spans="2:3" x14ac:dyDescent="0.35">
      <c r="B9" s="2">
        <v>1.387</v>
      </c>
      <c r="C9" s="3">
        <v>7.343</v>
      </c>
    </row>
    <row r="10" spans="2:3" x14ac:dyDescent="0.35">
      <c r="B10" s="2">
        <v>1.3029999999999999</v>
      </c>
      <c r="C10" s="3">
        <v>7.3070000000000004</v>
      </c>
    </row>
    <row r="11" spans="2:3" x14ac:dyDescent="0.35">
      <c r="B11" s="2">
        <v>1.365</v>
      </c>
      <c r="C11" s="3">
        <v>7.2779999999999996</v>
      </c>
    </row>
    <row r="12" spans="2:3" x14ac:dyDescent="0.35">
      <c r="B12" s="2">
        <v>1.3759999999999999</v>
      </c>
      <c r="C12" s="3">
        <v>7.2460000000000004</v>
      </c>
    </row>
    <row r="13" spans="2:3" x14ac:dyDescent="0.35">
      <c r="B13" s="2">
        <v>1.3720000000000001</v>
      </c>
      <c r="C13" s="3">
        <v>7.2279999999999998</v>
      </c>
    </row>
    <row r="14" spans="2:3" x14ac:dyDescent="0.35">
      <c r="B14" s="2">
        <v>1.034</v>
      </c>
      <c r="C14" s="3">
        <v>7.1669999999999998</v>
      </c>
    </row>
    <row r="15" spans="2:3" x14ac:dyDescent="0.35">
      <c r="B15" s="2">
        <v>1.276</v>
      </c>
      <c r="C15" s="3">
        <v>7.1390000000000002</v>
      </c>
    </row>
    <row r="16" spans="2:3" x14ac:dyDescent="0.35">
      <c r="B16" s="2">
        <v>1.609</v>
      </c>
      <c r="C16" s="3">
        <v>7.09</v>
      </c>
    </row>
    <row r="17" spans="2:3" x14ac:dyDescent="0.35">
      <c r="B17" s="2">
        <v>1.333</v>
      </c>
      <c r="C17" s="3">
        <v>7.0540000000000003</v>
      </c>
    </row>
    <row r="18" spans="2:3" x14ac:dyDescent="0.35">
      <c r="B18" s="2">
        <v>1.4990000000000001</v>
      </c>
      <c r="C18" s="3">
        <v>7.0209999999999999</v>
      </c>
    </row>
    <row r="19" spans="2:3" x14ac:dyDescent="0.35">
      <c r="B19" s="2">
        <v>1.373</v>
      </c>
      <c r="C19" s="3">
        <v>6.9850000000000003</v>
      </c>
    </row>
    <row r="20" spans="2:3" x14ac:dyDescent="0.35">
      <c r="B20" s="2">
        <v>1.3560000000000001</v>
      </c>
      <c r="C20" s="3">
        <v>6.923</v>
      </c>
    </row>
    <row r="21" spans="2:3" x14ac:dyDescent="0.35">
      <c r="B21" s="2">
        <v>1.4330000000000001</v>
      </c>
      <c r="C21" s="3">
        <v>6.8920000000000003</v>
      </c>
    </row>
    <row r="22" spans="2:3" x14ac:dyDescent="0.35">
      <c r="B22" s="2">
        <v>1.2689999999999999</v>
      </c>
      <c r="C22" s="3">
        <v>6.8520000000000003</v>
      </c>
    </row>
    <row r="23" spans="2:3" x14ac:dyDescent="0.35">
      <c r="B23" s="2">
        <v>1.5029999999999999</v>
      </c>
      <c r="C23" s="3">
        <v>6.8250000000000002</v>
      </c>
    </row>
    <row r="24" spans="2:3" x14ac:dyDescent="0.35">
      <c r="B24" s="2">
        <v>1.3</v>
      </c>
      <c r="C24" s="3">
        <v>6.726</v>
      </c>
    </row>
    <row r="25" spans="2:3" x14ac:dyDescent="0.35">
      <c r="B25" s="2">
        <v>1.07</v>
      </c>
      <c r="C25" s="3">
        <v>6.5949999999999998</v>
      </c>
    </row>
    <row r="26" spans="2:3" x14ac:dyDescent="0.35">
      <c r="B26" s="2">
        <v>1.3240000000000001</v>
      </c>
      <c r="C26" s="3">
        <v>6.5919999999999996</v>
      </c>
    </row>
    <row r="27" spans="2:3" x14ac:dyDescent="0.35">
      <c r="B27" s="2">
        <v>1.3680000000000001</v>
      </c>
      <c r="C27" s="3">
        <v>6.4459999999999997</v>
      </c>
    </row>
    <row r="28" spans="2:3" x14ac:dyDescent="0.35">
      <c r="B28" s="2">
        <v>1.159</v>
      </c>
      <c r="C28" s="3">
        <v>6.444</v>
      </c>
    </row>
    <row r="29" spans="2:3" x14ac:dyDescent="0.35">
      <c r="B29" s="2">
        <v>0.8</v>
      </c>
      <c r="C29" s="3">
        <v>6.4359999999999999</v>
      </c>
    </row>
    <row r="30" spans="2:3" x14ac:dyDescent="0.35">
      <c r="B30" s="2">
        <v>1.403</v>
      </c>
      <c r="C30" s="3">
        <v>6.375</v>
      </c>
    </row>
    <row r="31" spans="2:3" x14ac:dyDescent="0.35">
      <c r="B31" s="2">
        <v>1.6839999999999999</v>
      </c>
      <c r="C31" s="3">
        <v>6.3739999999999997</v>
      </c>
    </row>
    <row r="32" spans="2:3" x14ac:dyDescent="0.35">
      <c r="B32" s="2">
        <v>1.286</v>
      </c>
      <c r="C32" s="3">
        <v>6.3540000000000001</v>
      </c>
    </row>
    <row r="33" spans="2:3" x14ac:dyDescent="0.35">
      <c r="B33" s="2">
        <v>1.149</v>
      </c>
      <c r="C33" s="3">
        <v>6.3209999999999997</v>
      </c>
    </row>
    <row r="34" spans="2:3" x14ac:dyDescent="0.35">
      <c r="B34" s="2">
        <v>1.1240000000000001</v>
      </c>
      <c r="C34" s="3">
        <v>6.2930000000000001</v>
      </c>
    </row>
    <row r="35" spans="2:3" x14ac:dyDescent="0.35">
      <c r="B35" s="2">
        <v>1.5720000000000001</v>
      </c>
      <c r="C35" s="3">
        <v>6.2619999999999996</v>
      </c>
    </row>
    <row r="36" spans="2:3" x14ac:dyDescent="0.35">
      <c r="B36" s="2">
        <v>0.79400000000000004</v>
      </c>
      <c r="C36" s="3">
        <v>6.2530000000000001</v>
      </c>
    </row>
    <row r="37" spans="2:3" x14ac:dyDescent="0.35">
      <c r="B37" s="2">
        <v>1.294</v>
      </c>
      <c r="C37" s="3">
        <v>6.2229999999999999</v>
      </c>
    </row>
    <row r="38" spans="2:3" x14ac:dyDescent="0.35">
      <c r="B38" s="2">
        <v>1.3620000000000001</v>
      </c>
      <c r="C38" s="3">
        <v>6.1989999999999998</v>
      </c>
    </row>
    <row r="39" spans="2:3" x14ac:dyDescent="0.35">
      <c r="B39" s="2">
        <v>1.246</v>
      </c>
      <c r="C39" s="3">
        <v>6.1980000000000004</v>
      </c>
    </row>
    <row r="40" spans="2:3" x14ac:dyDescent="0.35">
      <c r="B40" s="2">
        <v>1.2310000000000001</v>
      </c>
      <c r="C40" s="3">
        <v>6.1920000000000002</v>
      </c>
    </row>
    <row r="41" spans="2:3" x14ac:dyDescent="0.35">
      <c r="B41" s="2">
        <v>1.206</v>
      </c>
      <c r="C41" s="3">
        <v>6.1820000000000004</v>
      </c>
    </row>
    <row r="42" spans="2:3" x14ac:dyDescent="0.35">
      <c r="B42" s="2">
        <v>0.745</v>
      </c>
      <c r="C42" s="3">
        <v>6.1740000000000004</v>
      </c>
    </row>
    <row r="43" spans="2:3" x14ac:dyDescent="0.35">
      <c r="B43" s="2">
        <v>1.238</v>
      </c>
      <c r="C43" s="3">
        <v>6.149</v>
      </c>
    </row>
    <row r="44" spans="2:3" x14ac:dyDescent="0.35">
      <c r="B44" s="2">
        <v>0.98499999999999999</v>
      </c>
      <c r="C44" s="3">
        <v>6.125</v>
      </c>
    </row>
    <row r="45" spans="2:3" x14ac:dyDescent="0.35">
      <c r="B45" s="2">
        <v>1.258</v>
      </c>
      <c r="C45" s="3">
        <v>6.1180000000000003</v>
      </c>
    </row>
    <row r="46" spans="2:3" x14ac:dyDescent="0.35">
      <c r="B46" s="2">
        <v>0.69399999999999995</v>
      </c>
      <c r="C46" s="3">
        <v>6.1050000000000004</v>
      </c>
    </row>
    <row r="47" spans="2:3" x14ac:dyDescent="0.35">
      <c r="B47" s="2">
        <v>0.88200000000000001</v>
      </c>
      <c r="C47" s="3">
        <v>6.1</v>
      </c>
    </row>
    <row r="48" spans="2:3" x14ac:dyDescent="0.35">
      <c r="B48" s="2">
        <v>1.1619999999999999</v>
      </c>
      <c r="C48" s="3">
        <v>6.07</v>
      </c>
    </row>
    <row r="49" spans="2:3" x14ac:dyDescent="0.35">
      <c r="B49" s="2">
        <v>0.91200000000000003</v>
      </c>
      <c r="C49" s="3">
        <v>6.0279999999999996</v>
      </c>
    </row>
    <row r="50" spans="2:3" x14ac:dyDescent="0.35">
      <c r="B50" s="2">
        <v>1.5</v>
      </c>
      <c r="C50" s="3">
        <v>6.0209999999999999</v>
      </c>
    </row>
    <row r="51" spans="2:3" x14ac:dyDescent="0.35">
      <c r="B51" s="2">
        <v>1.05</v>
      </c>
      <c r="C51" s="3">
        <v>6.008</v>
      </c>
    </row>
    <row r="52" spans="2:3" x14ac:dyDescent="0.35">
      <c r="B52" s="2">
        <v>1.004</v>
      </c>
      <c r="C52" s="3">
        <v>5.9514999999999993</v>
      </c>
    </row>
    <row r="53" spans="2:3" x14ac:dyDescent="0.35">
      <c r="B53" s="2">
        <v>1.1870000000000001</v>
      </c>
      <c r="C53" s="3">
        <v>5.94</v>
      </c>
    </row>
    <row r="54" spans="2:3" x14ac:dyDescent="0.35">
      <c r="B54" s="2">
        <v>1.3009999999999999</v>
      </c>
      <c r="C54" s="3">
        <v>5.8949999999999996</v>
      </c>
    </row>
    <row r="55" spans="2:3" x14ac:dyDescent="0.35">
      <c r="B55" s="2">
        <v>1.2370000000000001</v>
      </c>
      <c r="C55" s="3">
        <v>5.8929999999999998</v>
      </c>
    </row>
    <row r="56" spans="2:3" x14ac:dyDescent="0.35">
      <c r="B56" s="2">
        <v>0.83099999999999996</v>
      </c>
      <c r="C56" s="3">
        <v>5.89</v>
      </c>
    </row>
    <row r="57" spans="2:3" x14ac:dyDescent="0.35">
      <c r="B57" s="2">
        <v>1.1200000000000001</v>
      </c>
      <c r="C57" s="3">
        <v>5.8879999999999999</v>
      </c>
    </row>
    <row r="58" spans="2:3" x14ac:dyDescent="0.35">
      <c r="B58" s="2">
        <v>1.327</v>
      </c>
      <c r="C58" s="3">
        <v>5.8860000000000001</v>
      </c>
    </row>
    <row r="59" spans="2:3" x14ac:dyDescent="0.35">
      <c r="B59" s="2">
        <v>1.2629999999999999</v>
      </c>
      <c r="C59" s="3">
        <v>5.8819999999999997</v>
      </c>
    </row>
    <row r="60" spans="2:3" x14ac:dyDescent="0.35">
      <c r="B60" s="2">
        <v>0.64200000000000002</v>
      </c>
      <c r="C60" s="3">
        <v>5.86</v>
      </c>
    </row>
    <row r="61" spans="2:3" x14ac:dyDescent="0.35">
      <c r="B61" s="2">
        <v>1.173</v>
      </c>
      <c r="C61" s="3">
        <v>5.8090000000000002</v>
      </c>
    </row>
    <row r="62" spans="2:3" x14ac:dyDescent="0.35">
      <c r="B62" s="2">
        <v>0.77600000000000002</v>
      </c>
      <c r="C62" s="3">
        <v>5.7789999999999999</v>
      </c>
    </row>
    <row r="63" spans="2:3" x14ac:dyDescent="0.35">
      <c r="B63" s="2">
        <v>1.2010000000000001</v>
      </c>
      <c r="C63" s="3">
        <v>5.758</v>
      </c>
    </row>
    <row r="64" spans="2:3" x14ac:dyDescent="0.35">
      <c r="B64" s="2">
        <v>0.85499999999999998</v>
      </c>
      <c r="C64" s="3">
        <v>5.7430000000000003</v>
      </c>
    </row>
    <row r="65" spans="2:3" x14ac:dyDescent="0.35">
      <c r="B65" s="2">
        <v>0.67700000000000005</v>
      </c>
      <c r="C65" s="3">
        <v>5.6529999999999996</v>
      </c>
    </row>
    <row r="66" spans="2:3" x14ac:dyDescent="0.35">
      <c r="B66" s="2">
        <v>0.80700000000000005</v>
      </c>
      <c r="C66" s="3">
        <v>5.6310000000000002</v>
      </c>
    </row>
    <row r="67" spans="2:3" x14ac:dyDescent="0.35">
      <c r="B67" s="2">
        <v>1.0920000000000001</v>
      </c>
      <c r="C67" s="3">
        <v>5.5485000000000007</v>
      </c>
    </row>
    <row r="68" spans="2:3" x14ac:dyDescent="0.35">
      <c r="B68" s="2">
        <v>0.68500000000000005</v>
      </c>
      <c r="C68" s="3">
        <v>5.5289999999999999</v>
      </c>
    </row>
    <row r="69" spans="2:3" x14ac:dyDescent="0.35">
      <c r="B69" s="2">
        <v>1.044</v>
      </c>
      <c r="C69" s="3">
        <v>5.5250000000000004</v>
      </c>
    </row>
    <row r="70" spans="2:3" x14ac:dyDescent="0.35">
      <c r="B70" s="2">
        <v>1.0509999999999999</v>
      </c>
      <c r="C70" s="3">
        <v>5.5229999999999997</v>
      </c>
    </row>
    <row r="71" spans="2:3" x14ac:dyDescent="0.35">
      <c r="B71" s="2">
        <v>1.2210000000000001</v>
      </c>
      <c r="C71" s="3">
        <v>5.516</v>
      </c>
    </row>
    <row r="72" spans="2:3" x14ac:dyDescent="0.35">
      <c r="B72" s="2">
        <v>1.1830000000000001</v>
      </c>
      <c r="C72" s="3">
        <v>5.5105000000000004</v>
      </c>
    </row>
    <row r="73" spans="2:3" x14ac:dyDescent="0.35">
      <c r="B73" s="2">
        <v>0.49299999999999999</v>
      </c>
      <c r="C73" s="3">
        <v>5.4669999999999996</v>
      </c>
    </row>
    <row r="74" spans="2:3" x14ac:dyDescent="0.35">
      <c r="B74" s="2">
        <v>1.155</v>
      </c>
      <c r="C74" s="3">
        <v>5.4320000000000004</v>
      </c>
    </row>
    <row r="75" spans="2:3" x14ac:dyDescent="0.35">
      <c r="B75" s="2">
        <v>1.4379999999999999</v>
      </c>
      <c r="C75" s="3">
        <v>5.43</v>
      </c>
    </row>
    <row r="76" spans="2:3" x14ac:dyDescent="0.35">
      <c r="B76" s="2">
        <v>1.0149999999999999</v>
      </c>
      <c r="C76" s="3">
        <v>5.4249999999999998</v>
      </c>
    </row>
    <row r="77" spans="2:3" x14ac:dyDescent="0.35">
      <c r="B77" s="2">
        <v>0.94499999999999995</v>
      </c>
      <c r="C77" s="3">
        <v>5.3860000000000001</v>
      </c>
    </row>
    <row r="78" spans="2:3" x14ac:dyDescent="0.35">
      <c r="B78" s="2">
        <v>1.0669999999999999</v>
      </c>
      <c r="C78" s="3">
        <v>5.3230000000000004</v>
      </c>
    </row>
    <row r="79" spans="2:3" x14ac:dyDescent="0.35">
      <c r="B79" s="2">
        <v>1.181</v>
      </c>
      <c r="C79" s="3">
        <v>5.2869999999999999</v>
      </c>
    </row>
    <row r="80" spans="2:3" x14ac:dyDescent="0.35">
      <c r="B80" s="2">
        <v>0.94799999999999995</v>
      </c>
      <c r="C80" s="3">
        <v>5.2850000000000001</v>
      </c>
    </row>
    <row r="81" spans="2:3" x14ac:dyDescent="0.35">
      <c r="B81" s="2">
        <v>0.98299999999999998</v>
      </c>
      <c r="C81" s="3">
        <v>5.274</v>
      </c>
    </row>
    <row r="82" spans="2:3" x14ac:dyDescent="0.35">
      <c r="B82" s="2">
        <v>0.69599999999999995</v>
      </c>
      <c r="C82" s="3">
        <v>5.2649999999999997</v>
      </c>
    </row>
    <row r="83" spans="2:3" x14ac:dyDescent="0.35">
      <c r="B83" s="2">
        <v>0.55100000000000005</v>
      </c>
      <c r="C83" s="3">
        <v>5.2610000000000001</v>
      </c>
    </row>
    <row r="84" spans="2:3" x14ac:dyDescent="0.35">
      <c r="B84" s="2">
        <v>1.052</v>
      </c>
      <c r="C84" s="3">
        <v>5.2469999999999999</v>
      </c>
    </row>
    <row r="85" spans="2:3" x14ac:dyDescent="0.35">
      <c r="B85" s="2">
        <v>1.002</v>
      </c>
      <c r="C85" s="3">
        <v>5.2110000000000003</v>
      </c>
    </row>
    <row r="86" spans="2:3" x14ac:dyDescent="0.35">
      <c r="B86" s="2">
        <v>0.80100000000000005</v>
      </c>
      <c r="C86" s="3">
        <v>5.2080000000000002</v>
      </c>
    </row>
    <row r="87" spans="2:3" x14ac:dyDescent="0.35">
      <c r="B87" s="2">
        <v>0.98699999999999999</v>
      </c>
      <c r="C87" s="3">
        <v>5.1970000000000001</v>
      </c>
    </row>
    <row r="88" spans="2:3" x14ac:dyDescent="0.35">
      <c r="B88" s="2">
        <v>0.93100000000000005</v>
      </c>
      <c r="C88" s="3">
        <v>5.1920000000000002</v>
      </c>
    </row>
    <row r="89" spans="2:3" x14ac:dyDescent="0.35">
      <c r="B89" s="2">
        <v>1.0289999999999999</v>
      </c>
      <c r="C89" s="3">
        <v>5.1909999999999998</v>
      </c>
    </row>
    <row r="90" spans="2:3" x14ac:dyDescent="0.35">
      <c r="B90" s="2">
        <v>0.74099999999999999</v>
      </c>
      <c r="C90" s="3">
        <v>5.1749999999999998</v>
      </c>
    </row>
    <row r="91" spans="2:3" x14ac:dyDescent="0.35">
      <c r="B91" s="2">
        <v>0.81299999999999994</v>
      </c>
      <c r="C91" s="3">
        <v>5.0819999999999999</v>
      </c>
    </row>
    <row r="92" spans="2:3" x14ac:dyDescent="0.35">
      <c r="B92" s="2">
        <v>0.54900000000000004</v>
      </c>
      <c r="C92" s="3">
        <v>5.0439999999999996</v>
      </c>
    </row>
    <row r="93" spans="2:3" x14ac:dyDescent="0.35">
      <c r="B93" s="2">
        <v>0.96</v>
      </c>
      <c r="C93" s="3">
        <v>5.0420000000000007</v>
      </c>
    </row>
    <row r="94" spans="2:3" x14ac:dyDescent="0.35">
      <c r="B94" s="2">
        <v>0.61099999999999999</v>
      </c>
      <c r="C94" s="3">
        <v>4.9960000000000004</v>
      </c>
    </row>
    <row r="95" spans="2:3" x14ac:dyDescent="0.35">
      <c r="B95" s="2">
        <v>0.56899999999999995</v>
      </c>
      <c r="C95" s="3">
        <v>4.944</v>
      </c>
    </row>
    <row r="96" spans="2:3" x14ac:dyDescent="0.35">
      <c r="B96" s="2">
        <v>0.44600000000000001</v>
      </c>
      <c r="C96" s="3">
        <v>4.9130000000000003</v>
      </c>
    </row>
    <row r="97" spans="2:3" x14ac:dyDescent="0.35">
      <c r="B97" s="2">
        <v>0.83699999999999997</v>
      </c>
      <c r="C97" s="3">
        <v>4.9059999999999997</v>
      </c>
    </row>
    <row r="98" spans="2:3" x14ac:dyDescent="0.35">
      <c r="B98" s="2">
        <v>0.39300000000000002</v>
      </c>
      <c r="C98" s="3">
        <v>4.883</v>
      </c>
    </row>
    <row r="99" spans="2:3" x14ac:dyDescent="0.35">
      <c r="B99" s="2">
        <v>1.0429999999999999</v>
      </c>
      <c r="C99" s="3">
        <v>4.8224999999999998</v>
      </c>
    </row>
    <row r="100" spans="2:3" x14ac:dyDescent="0.35">
      <c r="B100" s="2">
        <v>0.67300000000000004</v>
      </c>
      <c r="C100" s="3">
        <v>4.8120000000000003</v>
      </c>
    </row>
    <row r="101" spans="2:3" x14ac:dyDescent="0.35">
      <c r="B101" s="2">
        <v>1.0569999999999999</v>
      </c>
      <c r="C101" s="3">
        <v>4.7990000000000004</v>
      </c>
    </row>
    <row r="102" spans="2:3" x14ac:dyDescent="0.35">
      <c r="B102" s="2">
        <v>0.76400000000000001</v>
      </c>
      <c r="C102" s="3">
        <v>4.7960000000000003</v>
      </c>
    </row>
    <row r="103" spans="2:3" x14ac:dyDescent="0.35">
      <c r="B103" s="2">
        <v>0.94699999999999995</v>
      </c>
      <c r="C103" s="3">
        <v>4.7190000000000003</v>
      </c>
    </row>
    <row r="104" spans="2:3" x14ac:dyDescent="0.35">
      <c r="B104" s="2">
        <v>0.57399999999999995</v>
      </c>
      <c r="C104" s="3">
        <v>4.7</v>
      </c>
    </row>
    <row r="105" spans="2:3" x14ac:dyDescent="0.35">
      <c r="B105" s="2">
        <v>0.65700000000000003</v>
      </c>
      <c r="C105" s="3">
        <v>4.6959999999999997</v>
      </c>
    </row>
    <row r="106" spans="2:3" x14ac:dyDescent="0.35">
      <c r="B106" s="2">
        <v>0.45</v>
      </c>
      <c r="C106" s="3">
        <v>4.681</v>
      </c>
    </row>
    <row r="107" spans="2:3" x14ac:dyDescent="0.35">
      <c r="B107" s="2">
        <v>0</v>
      </c>
      <c r="C107" s="3">
        <v>4.6680000000000001</v>
      </c>
    </row>
    <row r="108" spans="2:3" x14ac:dyDescent="0.35">
      <c r="B108" s="2">
        <v>0.879</v>
      </c>
      <c r="C108" s="3">
        <v>4.6390000000000002</v>
      </c>
    </row>
    <row r="109" spans="2:3" x14ac:dyDescent="0.35">
      <c r="B109" s="2">
        <v>0.13800000000000001</v>
      </c>
      <c r="C109" s="3">
        <v>4.6280000000000001</v>
      </c>
    </row>
    <row r="110" spans="2:3" x14ac:dyDescent="0.35">
      <c r="B110" s="2">
        <v>0.33100000000000002</v>
      </c>
      <c r="C110" s="3">
        <v>4.5869999999999997</v>
      </c>
    </row>
    <row r="111" spans="2:3" x14ac:dyDescent="0.35">
      <c r="B111" s="2">
        <v>0.85</v>
      </c>
      <c r="C111" s="3">
        <v>4.5590000000000002</v>
      </c>
    </row>
    <row r="112" spans="2:3" x14ac:dyDescent="0.35">
      <c r="B112" s="2">
        <v>1.1000000000000001</v>
      </c>
      <c r="C112" s="3">
        <v>4.548</v>
      </c>
    </row>
    <row r="113" spans="2:3" x14ac:dyDescent="0.35">
      <c r="B113" s="2">
        <v>0.38</v>
      </c>
      <c r="C113" s="3">
        <v>4.5339999999999998</v>
      </c>
    </row>
    <row r="114" spans="2:3" x14ac:dyDescent="0.35">
      <c r="B114" s="2">
        <v>0.88600000000000001</v>
      </c>
      <c r="C114" s="3">
        <v>4.5190000000000001</v>
      </c>
    </row>
    <row r="115" spans="2:3" x14ac:dyDescent="0.35">
      <c r="B115" s="2">
        <v>0.308</v>
      </c>
      <c r="C115" s="3">
        <v>4.516</v>
      </c>
    </row>
    <row r="116" spans="2:3" x14ac:dyDescent="0.35">
      <c r="B116" s="2">
        <v>0.51200000000000001</v>
      </c>
      <c r="C116" s="3">
        <v>4.5090000000000003</v>
      </c>
    </row>
    <row r="117" spans="2:3" x14ac:dyDescent="0.35">
      <c r="B117" s="2">
        <v>0.56999999999999995</v>
      </c>
      <c r="C117" s="3">
        <v>4.49</v>
      </c>
    </row>
    <row r="118" spans="2:3" x14ac:dyDescent="0.35">
      <c r="B118" s="2">
        <v>0.20399999999999999</v>
      </c>
      <c r="C118" s="3">
        <v>4.4660000000000002</v>
      </c>
    </row>
    <row r="119" spans="2:3" x14ac:dyDescent="0.35">
      <c r="B119" s="2">
        <v>0.92100000000000004</v>
      </c>
      <c r="C119" s="3">
        <v>4.4610000000000003</v>
      </c>
    </row>
    <row r="120" spans="2:3" x14ac:dyDescent="0.35">
      <c r="B120" s="2">
        <v>0.56200000000000006</v>
      </c>
      <c r="C120" s="3">
        <v>4.4560000000000004</v>
      </c>
    </row>
    <row r="121" spans="2:3" x14ac:dyDescent="0.35">
      <c r="B121" s="2">
        <v>9.4E-2</v>
      </c>
      <c r="C121" s="3">
        <v>4.4180000000000001</v>
      </c>
    </row>
    <row r="122" spans="2:3" x14ac:dyDescent="0.35">
      <c r="B122" s="2">
        <v>0.38500000000000001</v>
      </c>
      <c r="C122" s="3">
        <v>4.3899999999999997</v>
      </c>
    </row>
    <row r="123" spans="2:3" x14ac:dyDescent="0.35">
      <c r="B123" s="2">
        <v>0.26800000000000002</v>
      </c>
      <c r="C123" s="3">
        <v>4.3739999999999997</v>
      </c>
    </row>
    <row r="124" spans="2:3" x14ac:dyDescent="0.35">
      <c r="B124" s="2">
        <v>0.94899999999999995</v>
      </c>
      <c r="C124" s="3">
        <v>4.3659999999999997</v>
      </c>
    </row>
    <row r="125" spans="2:3" x14ac:dyDescent="0.35">
      <c r="B125" s="2">
        <v>0.71</v>
      </c>
      <c r="C125" s="3">
        <v>4.3600000000000003</v>
      </c>
    </row>
    <row r="126" spans="2:3" x14ac:dyDescent="0.35">
      <c r="B126" s="2">
        <v>0.82</v>
      </c>
      <c r="C126" s="3">
        <v>4.3319999999999999</v>
      </c>
    </row>
    <row r="127" spans="2:3" x14ac:dyDescent="0.35">
      <c r="B127" s="2">
        <v>0.33600000000000002</v>
      </c>
      <c r="C127" s="3">
        <v>4.2859999999999996</v>
      </c>
    </row>
    <row r="128" spans="2:3" x14ac:dyDescent="0.35">
      <c r="B128" s="2">
        <v>0.81100000000000005</v>
      </c>
      <c r="C128" s="3">
        <v>4.2119999999999997</v>
      </c>
    </row>
    <row r="129" spans="2:3" x14ac:dyDescent="0.35">
      <c r="B129" s="2">
        <v>0.33200000000000002</v>
      </c>
      <c r="C129" s="3">
        <v>4.1890000000000001</v>
      </c>
    </row>
    <row r="130" spans="2:3" x14ac:dyDescent="0.35">
      <c r="B130" s="2">
        <v>0.91300000000000003</v>
      </c>
      <c r="C130" s="3">
        <v>4.1660000000000004</v>
      </c>
    </row>
    <row r="131" spans="2:3" x14ac:dyDescent="0.35">
      <c r="B131" s="2">
        <v>0.57799999999999996</v>
      </c>
      <c r="C131" s="3">
        <v>4.1070000000000002</v>
      </c>
    </row>
    <row r="132" spans="2:3" x14ac:dyDescent="0.35">
      <c r="B132" s="2">
        <v>0.27500000000000002</v>
      </c>
      <c r="C132" s="3">
        <v>4.085</v>
      </c>
    </row>
    <row r="133" spans="2:3" x14ac:dyDescent="0.35">
      <c r="B133" s="2">
        <v>0.755</v>
      </c>
      <c r="C133" s="3">
        <v>4.0149999999999997</v>
      </c>
    </row>
    <row r="134" spans="2:3" x14ac:dyDescent="0.35">
      <c r="B134" s="2">
        <v>7.2999999999999995E-2</v>
      </c>
      <c r="C134" s="3">
        <v>3.9750000000000001</v>
      </c>
    </row>
    <row r="135" spans="2:3" x14ac:dyDescent="0.35">
      <c r="B135" s="2">
        <v>0.27400000000000002</v>
      </c>
      <c r="C135" s="3">
        <v>3.9529999999999998</v>
      </c>
    </row>
    <row r="136" spans="2:3" x14ac:dyDescent="0.35">
      <c r="B136" s="2">
        <v>0.48899999999999999</v>
      </c>
      <c r="C136" s="3">
        <v>3.802</v>
      </c>
    </row>
    <row r="137" spans="2:3" x14ac:dyDescent="0.35">
      <c r="B137" s="2">
        <v>0.35</v>
      </c>
      <c r="C137" s="3">
        <v>3.7764999999999995</v>
      </c>
    </row>
    <row r="138" spans="2:3" x14ac:dyDescent="0.35">
      <c r="B138" s="2">
        <v>4.5999999999999999E-2</v>
      </c>
      <c r="C138" s="3">
        <v>3.7749999999999999</v>
      </c>
    </row>
    <row r="139" spans="2:3" x14ac:dyDescent="0.35">
      <c r="B139" s="2">
        <v>0.36599999999999999</v>
      </c>
      <c r="C139" s="3">
        <v>3.6629999999999998</v>
      </c>
    </row>
    <row r="140" spans="2:3" x14ac:dyDescent="0.35">
      <c r="B140" s="2">
        <v>0.32300000000000001</v>
      </c>
      <c r="C140" s="3">
        <v>3.597</v>
      </c>
    </row>
    <row r="141" spans="2:3" x14ac:dyDescent="0.35">
      <c r="B141" s="2">
        <v>1.0409999999999999</v>
      </c>
      <c r="C141" s="3">
        <v>3.488</v>
      </c>
    </row>
    <row r="142" spans="2:3" x14ac:dyDescent="0.35">
      <c r="B142" s="2">
        <v>0.61899999999999999</v>
      </c>
      <c r="C142" s="3">
        <v>3.4620000000000002</v>
      </c>
    </row>
    <row r="143" spans="2:3" x14ac:dyDescent="0.35">
      <c r="B143" s="2">
        <v>0.191</v>
      </c>
      <c r="C143" s="3">
        <v>3.41</v>
      </c>
    </row>
    <row r="144" spans="2:3" x14ac:dyDescent="0.35">
      <c r="B144" s="2">
        <v>0.28699999999999998</v>
      </c>
      <c r="C144" s="3">
        <v>3.38</v>
      </c>
    </row>
    <row r="145" spans="2:3" x14ac:dyDescent="0.35">
      <c r="B145" s="2">
        <v>0.35899999999999999</v>
      </c>
      <c r="C145" s="3">
        <v>3.3340000000000001</v>
      </c>
    </row>
    <row r="146" spans="2:3" x14ac:dyDescent="0.35">
      <c r="B146" s="2">
        <v>0.47599999999999998</v>
      </c>
      <c r="C146" s="3">
        <v>3.2309999999999999</v>
      </c>
    </row>
    <row r="147" spans="2:3" x14ac:dyDescent="0.35">
      <c r="B147" s="2">
        <v>2.5999999999999999E-2</v>
      </c>
      <c r="C147" s="3">
        <v>3.0830000000000002</v>
      </c>
    </row>
    <row r="148" spans="2:3" x14ac:dyDescent="0.35">
      <c r="B148" s="2">
        <v>0.30599999999999999</v>
      </c>
      <c r="C148" s="3">
        <v>2.8530000000000002</v>
      </c>
    </row>
    <row r="149" spans="2:3" x14ac:dyDescent="0.35">
      <c r="B149" s="2" t="s">
        <v>172</v>
      </c>
      <c r="C149" s="3">
        <v>5.4070961538461555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3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1" t="s">
        <v>171</v>
      </c>
      <c r="B3" t="s">
        <v>173</v>
      </c>
    </row>
    <row r="4" spans="1:2" x14ac:dyDescent="0.35">
      <c r="A4" s="2">
        <v>1.028</v>
      </c>
      <c r="B4" s="3">
        <v>7.5540000000000003</v>
      </c>
    </row>
    <row r="5" spans="1:2" x14ac:dyDescent="0.35">
      <c r="A5" s="2">
        <v>1.052</v>
      </c>
      <c r="B5" s="3">
        <v>7.48</v>
      </c>
    </row>
    <row r="6" spans="1:2" x14ac:dyDescent="0.35">
      <c r="A6" s="2">
        <v>1.026</v>
      </c>
      <c r="B6" s="3">
        <v>7.4005000000000001</v>
      </c>
    </row>
    <row r="7" spans="1:2" x14ac:dyDescent="0.35">
      <c r="A7" s="2">
        <v>0.98599999999999999</v>
      </c>
      <c r="B7" s="3">
        <v>7.3460000000000001</v>
      </c>
    </row>
    <row r="8" spans="1:2" x14ac:dyDescent="0.35">
      <c r="A8" s="2">
        <v>1.0089999999999999</v>
      </c>
      <c r="B8" s="3">
        <v>7.343</v>
      </c>
    </row>
    <row r="9" spans="1:2" x14ac:dyDescent="0.35">
      <c r="A9" s="2">
        <v>0.996</v>
      </c>
      <c r="B9" s="3">
        <v>7.327</v>
      </c>
    </row>
    <row r="10" spans="1:2" x14ac:dyDescent="0.35">
      <c r="A10" s="2">
        <v>1.016</v>
      </c>
      <c r="B10" s="3">
        <v>7.2460000000000004</v>
      </c>
    </row>
    <row r="11" spans="1:2" x14ac:dyDescent="0.35">
      <c r="A11" s="2">
        <v>0.96299999999999997</v>
      </c>
      <c r="B11" s="3">
        <v>7.1669999999999998</v>
      </c>
    </row>
    <row r="12" spans="1:2" x14ac:dyDescent="0.35">
      <c r="A12" s="2">
        <v>1.0289999999999999</v>
      </c>
      <c r="B12" s="3">
        <v>7.1390000000000002</v>
      </c>
    </row>
    <row r="13" spans="1:2" x14ac:dyDescent="0.35">
      <c r="A13" s="2">
        <v>1.012</v>
      </c>
      <c r="B13" s="3">
        <v>7.09</v>
      </c>
    </row>
    <row r="14" spans="1:2" x14ac:dyDescent="0.35">
      <c r="A14" s="2">
        <v>0.98699999999999999</v>
      </c>
      <c r="B14" s="3">
        <v>6.9850000000000003</v>
      </c>
    </row>
    <row r="15" spans="1:2" x14ac:dyDescent="0.35">
      <c r="A15" s="2">
        <v>1.0389999999999999</v>
      </c>
      <c r="B15" s="3">
        <v>6.7504999999999997</v>
      </c>
    </row>
    <row r="16" spans="1:2" x14ac:dyDescent="0.35">
      <c r="A16" s="2">
        <v>0.92</v>
      </c>
      <c r="B16" s="3">
        <v>6.6479999999999997</v>
      </c>
    </row>
    <row r="17" spans="1:2" x14ac:dyDescent="0.35">
      <c r="A17" s="2">
        <v>0.86099999999999999</v>
      </c>
      <c r="B17" s="3">
        <v>6.5949999999999998</v>
      </c>
    </row>
    <row r="18" spans="1:2" x14ac:dyDescent="0.35">
      <c r="A18" s="2">
        <v>1.0449999999999999</v>
      </c>
      <c r="B18" s="3">
        <v>6.5919999999999996</v>
      </c>
    </row>
    <row r="19" spans="1:2" x14ac:dyDescent="0.35">
      <c r="A19" s="2">
        <v>1.036</v>
      </c>
      <c r="B19" s="3">
        <v>6.5614999999999997</v>
      </c>
    </row>
    <row r="20" spans="1:2" x14ac:dyDescent="0.35">
      <c r="A20" s="2">
        <v>0.82499999999999996</v>
      </c>
      <c r="B20" s="3">
        <v>6.4474999999999998</v>
      </c>
    </row>
    <row r="21" spans="1:2" x14ac:dyDescent="0.35">
      <c r="A21" s="2">
        <v>0.999</v>
      </c>
      <c r="B21" s="3">
        <v>6.4429999999999996</v>
      </c>
    </row>
    <row r="22" spans="1:2" x14ac:dyDescent="0.35">
      <c r="A22" s="2">
        <v>0.746</v>
      </c>
      <c r="B22" s="3">
        <v>6.4359999999999999</v>
      </c>
    </row>
    <row r="23" spans="1:2" x14ac:dyDescent="0.35">
      <c r="A23" s="2">
        <v>0.79500000000000004</v>
      </c>
      <c r="B23" s="3">
        <v>6.375</v>
      </c>
    </row>
    <row r="24" spans="1:2" x14ac:dyDescent="0.35">
      <c r="A24" s="2">
        <v>1.0620000000000001</v>
      </c>
      <c r="B24" s="3">
        <v>6.3540000000000001</v>
      </c>
    </row>
    <row r="25" spans="1:2" x14ac:dyDescent="0.35">
      <c r="A25" s="2">
        <v>0.91</v>
      </c>
      <c r="B25" s="3">
        <v>6.3209999999999997</v>
      </c>
    </row>
    <row r="26" spans="1:2" x14ac:dyDescent="0.35">
      <c r="A26" s="2">
        <v>0.80200000000000005</v>
      </c>
      <c r="B26" s="3">
        <v>6.3</v>
      </c>
    </row>
    <row r="27" spans="1:2" x14ac:dyDescent="0.35">
      <c r="A27" s="2">
        <v>0.89100000000000001</v>
      </c>
      <c r="B27" s="3">
        <v>6.2930000000000001</v>
      </c>
    </row>
    <row r="28" spans="1:2" x14ac:dyDescent="0.35">
      <c r="A28" s="2">
        <v>1.141</v>
      </c>
      <c r="B28" s="3">
        <v>6.2619999999999996</v>
      </c>
    </row>
    <row r="29" spans="1:2" x14ac:dyDescent="0.35">
      <c r="A29" s="2">
        <v>0.71299999999999997</v>
      </c>
      <c r="B29" s="3">
        <v>6.1920000000000002</v>
      </c>
    </row>
    <row r="30" spans="1:2" x14ac:dyDescent="0.35">
      <c r="A30" s="2">
        <v>0.88400000000000001</v>
      </c>
      <c r="B30" s="3">
        <v>6.1820000000000004</v>
      </c>
    </row>
    <row r="31" spans="1:2" x14ac:dyDescent="0.35">
      <c r="A31" s="2">
        <v>0.75600000000000001</v>
      </c>
      <c r="B31" s="3">
        <v>6.1740000000000004</v>
      </c>
    </row>
    <row r="32" spans="1:2" x14ac:dyDescent="0.35">
      <c r="A32" s="2">
        <v>0.81799999999999995</v>
      </c>
      <c r="B32" s="3">
        <v>6.149</v>
      </c>
    </row>
    <row r="33" spans="1:2" x14ac:dyDescent="0.35">
      <c r="A33" s="2">
        <v>0.88100000000000001</v>
      </c>
      <c r="B33" s="3">
        <v>6.1420000000000003</v>
      </c>
    </row>
    <row r="34" spans="1:2" x14ac:dyDescent="0.35">
      <c r="A34" s="2">
        <v>0.84099999999999997</v>
      </c>
      <c r="B34" s="3">
        <v>6.125</v>
      </c>
    </row>
    <row r="35" spans="1:2" x14ac:dyDescent="0.35">
      <c r="A35" s="2">
        <v>0.95299999999999996</v>
      </c>
      <c r="B35" s="3">
        <v>6.1180000000000003</v>
      </c>
    </row>
    <row r="36" spans="1:2" x14ac:dyDescent="0.35">
      <c r="A36" s="2">
        <v>0.83499999999999996</v>
      </c>
      <c r="B36" s="3">
        <v>6.1050000000000004</v>
      </c>
    </row>
    <row r="37" spans="1:2" x14ac:dyDescent="0.35">
      <c r="A37" s="2">
        <v>0.75800000000000001</v>
      </c>
      <c r="B37" s="3">
        <v>6.1</v>
      </c>
    </row>
    <row r="38" spans="1:2" x14ac:dyDescent="0.35">
      <c r="A38" s="2">
        <v>0.871</v>
      </c>
      <c r="B38" s="3">
        <v>6.032</v>
      </c>
    </row>
    <row r="39" spans="1:2" x14ac:dyDescent="0.35">
      <c r="A39" s="2">
        <v>0.86799999999999999</v>
      </c>
      <c r="B39" s="3">
        <v>6.0279999999999996</v>
      </c>
    </row>
    <row r="40" spans="1:2" x14ac:dyDescent="0.35">
      <c r="A40" s="2">
        <v>0.81200000000000006</v>
      </c>
      <c r="B40" s="3">
        <v>5.94</v>
      </c>
    </row>
    <row r="41" spans="1:2" x14ac:dyDescent="0.35">
      <c r="A41" s="2">
        <v>0.91400000000000003</v>
      </c>
      <c r="B41" s="3">
        <v>5.9390000000000001</v>
      </c>
    </row>
    <row r="42" spans="1:2" x14ac:dyDescent="0.35">
      <c r="A42" s="2">
        <v>0.79800000000000004</v>
      </c>
      <c r="B42" s="3">
        <v>5.8879999999999999</v>
      </c>
    </row>
    <row r="43" spans="1:2" x14ac:dyDescent="0.35">
      <c r="A43" s="2">
        <v>1.0880000000000001</v>
      </c>
      <c r="B43" s="3">
        <v>5.8860000000000001</v>
      </c>
    </row>
    <row r="44" spans="1:2" x14ac:dyDescent="0.35">
      <c r="A44" s="2">
        <v>1.042</v>
      </c>
      <c r="B44" s="3">
        <v>5.8819999999999997</v>
      </c>
    </row>
    <row r="45" spans="1:2" x14ac:dyDescent="0.35">
      <c r="A45" s="2">
        <v>0.874</v>
      </c>
      <c r="B45" s="3">
        <v>5.8346666666666671</v>
      </c>
    </row>
    <row r="46" spans="1:2" x14ac:dyDescent="0.35">
      <c r="A46" s="2">
        <v>0.72899999999999998</v>
      </c>
      <c r="B46" s="3">
        <v>5.8090000000000002</v>
      </c>
    </row>
    <row r="47" spans="1:2" x14ac:dyDescent="0.35">
      <c r="A47" s="2">
        <v>0.78900000000000003</v>
      </c>
      <c r="B47" s="3">
        <v>5.7880000000000003</v>
      </c>
    </row>
    <row r="48" spans="1:2" x14ac:dyDescent="0.35">
      <c r="A48" s="2">
        <v>0.70599999999999996</v>
      </c>
      <c r="B48" s="3">
        <v>5.7789999999999999</v>
      </c>
    </row>
    <row r="49" spans="1:2" x14ac:dyDescent="0.35">
      <c r="A49" s="2">
        <v>0.77700000000000002</v>
      </c>
      <c r="B49" s="3">
        <v>5.7430000000000003</v>
      </c>
    </row>
    <row r="50" spans="1:2" x14ac:dyDescent="0.35">
      <c r="A50" s="2">
        <v>0.82799999999999996</v>
      </c>
      <c r="B50" s="3">
        <v>5.7412500000000009</v>
      </c>
    </row>
    <row r="51" spans="1:2" x14ac:dyDescent="0.35">
      <c r="A51" s="2">
        <v>0.80800000000000005</v>
      </c>
      <c r="B51" s="3">
        <v>5.6970000000000001</v>
      </c>
    </row>
    <row r="52" spans="1:2" x14ac:dyDescent="0.35">
      <c r="A52" s="2">
        <v>0.53500000000000003</v>
      </c>
      <c r="B52" s="3">
        <v>5.6529999999999996</v>
      </c>
    </row>
    <row r="53" spans="1:2" x14ac:dyDescent="0.35">
      <c r="A53" s="2">
        <v>0.85399999999999998</v>
      </c>
      <c r="B53" s="3">
        <v>5.65</v>
      </c>
    </row>
    <row r="54" spans="1:2" x14ac:dyDescent="0.35">
      <c r="A54" s="2">
        <v>0.72599999999999998</v>
      </c>
      <c r="B54" s="3">
        <v>5.6479999999999997</v>
      </c>
    </row>
    <row r="55" spans="1:2" x14ac:dyDescent="0.35">
      <c r="A55" s="2">
        <v>0.67300000000000004</v>
      </c>
      <c r="B55" s="3">
        <v>5.5250000000000004</v>
      </c>
    </row>
    <row r="56" spans="1:2" x14ac:dyDescent="0.35">
      <c r="A56" s="2">
        <v>0.71799999999999997</v>
      </c>
      <c r="B56" s="3">
        <v>5.4669999999999996</v>
      </c>
    </row>
    <row r="57" spans="1:2" x14ac:dyDescent="0.35">
      <c r="A57" s="2">
        <v>0.65700000000000003</v>
      </c>
      <c r="B57" s="3">
        <v>5.4390000000000001</v>
      </c>
    </row>
    <row r="58" spans="1:2" x14ac:dyDescent="0.35">
      <c r="A58" s="2">
        <v>1.1220000000000001</v>
      </c>
      <c r="B58" s="3">
        <v>5.43</v>
      </c>
    </row>
    <row r="59" spans="1:2" x14ac:dyDescent="0.35">
      <c r="A59" s="2">
        <v>0.77900000000000003</v>
      </c>
      <c r="B59" s="3">
        <v>5.4249999999999998</v>
      </c>
    </row>
    <row r="60" spans="1:2" x14ac:dyDescent="0.35">
      <c r="A60" s="2">
        <v>0.84499999999999997</v>
      </c>
      <c r="B60" s="3">
        <v>5.3860000000000001</v>
      </c>
    </row>
    <row r="61" spans="1:2" x14ac:dyDescent="0.35">
      <c r="A61" s="2">
        <v>0.66700000000000004</v>
      </c>
      <c r="B61" s="3">
        <v>5.2850000000000001</v>
      </c>
    </row>
    <row r="62" spans="1:2" x14ac:dyDescent="0.35">
      <c r="A62" s="2">
        <v>0.83799999999999997</v>
      </c>
      <c r="B62" s="3">
        <v>5.274</v>
      </c>
    </row>
    <row r="63" spans="1:2" x14ac:dyDescent="0.35">
      <c r="A63" s="2">
        <v>0.245</v>
      </c>
      <c r="B63" s="3">
        <v>5.2649999999999997</v>
      </c>
    </row>
    <row r="64" spans="1:2" x14ac:dyDescent="0.35">
      <c r="A64" s="2">
        <v>0.76900000000000002</v>
      </c>
      <c r="B64" s="3">
        <v>5.2080000000000002</v>
      </c>
    </row>
    <row r="65" spans="1:2" x14ac:dyDescent="0.35">
      <c r="A65" s="2">
        <v>0.78200000000000003</v>
      </c>
      <c r="B65" s="3">
        <v>5.2080000000000002</v>
      </c>
    </row>
    <row r="66" spans="1:2" x14ac:dyDescent="0.35">
      <c r="A66" s="2">
        <v>0.66</v>
      </c>
      <c r="B66" s="3">
        <v>5.1920000000000002</v>
      </c>
    </row>
    <row r="67" spans="1:2" x14ac:dyDescent="0.35">
      <c r="A67" s="2">
        <v>0.89300000000000002</v>
      </c>
      <c r="B67" s="3">
        <v>5.1909999999999998</v>
      </c>
    </row>
    <row r="68" spans="1:2" x14ac:dyDescent="0.35">
      <c r="A68" s="2">
        <v>0.85099999999999998</v>
      </c>
      <c r="B68" s="3">
        <v>5.1749999999999998</v>
      </c>
    </row>
    <row r="69" spans="1:2" x14ac:dyDescent="0.35">
      <c r="A69" s="2">
        <v>0.83099999999999996</v>
      </c>
      <c r="B69" s="3">
        <v>5.1280000000000001</v>
      </c>
    </row>
    <row r="70" spans="1:2" x14ac:dyDescent="0.35">
      <c r="A70" s="2">
        <v>0.60399999999999998</v>
      </c>
      <c r="B70" s="3">
        <v>5.0819999999999999</v>
      </c>
    </row>
    <row r="71" spans="1:2" x14ac:dyDescent="0.35">
      <c r="A71" s="2">
        <v>0.33100000000000002</v>
      </c>
      <c r="B71" s="3">
        <v>5.0439999999999996</v>
      </c>
    </row>
    <row r="72" spans="1:2" x14ac:dyDescent="0.35">
      <c r="A72" s="2">
        <v>0.48599999999999999</v>
      </c>
      <c r="B72" s="3">
        <v>4.9960000000000004</v>
      </c>
    </row>
    <row r="73" spans="1:2" x14ac:dyDescent="0.35">
      <c r="A73" s="2">
        <v>0.23200000000000001</v>
      </c>
      <c r="B73" s="3">
        <v>4.944</v>
      </c>
    </row>
    <row r="74" spans="1:2" x14ac:dyDescent="0.35">
      <c r="A74" s="2">
        <v>0.73899999999999999</v>
      </c>
      <c r="B74" s="3">
        <v>4.9305000000000003</v>
      </c>
    </row>
    <row r="75" spans="1:2" x14ac:dyDescent="0.35">
      <c r="A75" s="2">
        <v>0.67700000000000005</v>
      </c>
      <c r="B75" s="3">
        <v>4.9130000000000003</v>
      </c>
    </row>
    <row r="76" spans="1:2" x14ac:dyDescent="0.35">
      <c r="A76" s="2">
        <v>0.39700000000000002</v>
      </c>
      <c r="B76" s="3">
        <v>4.883</v>
      </c>
    </row>
    <row r="77" spans="1:2" x14ac:dyDescent="0.35">
      <c r="A77" s="2">
        <v>0.78500000000000003</v>
      </c>
      <c r="B77" s="3">
        <v>4.8795000000000002</v>
      </c>
    </row>
    <row r="78" spans="1:2" x14ac:dyDescent="0.35">
      <c r="A78" s="2">
        <v>0.72299999999999998</v>
      </c>
      <c r="B78" s="3">
        <v>4.8585000000000003</v>
      </c>
    </row>
    <row r="79" spans="1:2" x14ac:dyDescent="0.35">
      <c r="A79" s="2">
        <v>0.81499999999999995</v>
      </c>
      <c r="B79" s="3">
        <v>4.8268000000000004</v>
      </c>
    </row>
    <row r="80" spans="1:2" x14ac:dyDescent="0.35">
      <c r="A80" s="2">
        <v>0.50800000000000001</v>
      </c>
      <c r="B80" s="3">
        <v>4.8120000000000003</v>
      </c>
    </row>
    <row r="81" spans="1:2" x14ac:dyDescent="0.35">
      <c r="A81" s="2">
        <v>0.55100000000000005</v>
      </c>
      <c r="B81" s="3">
        <v>4.7960000000000003</v>
      </c>
    </row>
    <row r="82" spans="1:2" x14ac:dyDescent="0.35">
      <c r="A82" s="2">
        <v>0.57099999999999995</v>
      </c>
      <c r="B82" s="3">
        <v>4.74</v>
      </c>
    </row>
    <row r="83" spans="1:2" x14ac:dyDescent="0.35">
      <c r="A83" s="2">
        <v>0.46899999999999997</v>
      </c>
      <c r="B83" s="3">
        <v>4.7220000000000004</v>
      </c>
    </row>
    <row r="84" spans="1:2" x14ac:dyDescent="0.35">
      <c r="A84" s="2">
        <v>0.80500000000000005</v>
      </c>
      <c r="B84" s="3">
        <v>4.7069999999999999</v>
      </c>
    </row>
    <row r="85" spans="1:2" x14ac:dyDescent="0.35">
      <c r="A85" s="2">
        <v>0.63700000000000001</v>
      </c>
      <c r="B85" s="3">
        <v>4.7</v>
      </c>
    </row>
    <row r="86" spans="1:2" x14ac:dyDescent="0.35">
      <c r="A86" s="2">
        <v>0.67200000000000004</v>
      </c>
      <c r="B86" s="3">
        <v>4.6959999999999997</v>
      </c>
    </row>
    <row r="87" spans="1:2" x14ac:dyDescent="0.35">
      <c r="A87" s="2">
        <v>0.26800000000000002</v>
      </c>
      <c r="B87" s="3">
        <v>4.6680000000000001</v>
      </c>
    </row>
    <row r="88" spans="1:2" x14ac:dyDescent="0.35">
      <c r="A88" s="2">
        <v>0.47699999999999998</v>
      </c>
      <c r="B88" s="3">
        <v>4.6390000000000002</v>
      </c>
    </row>
    <row r="89" spans="1:2" x14ac:dyDescent="0.35">
      <c r="A89" s="2">
        <v>0.36599999999999999</v>
      </c>
      <c r="B89" s="3">
        <v>4.6280000000000001</v>
      </c>
    </row>
    <row r="90" spans="1:2" x14ac:dyDescent="0.35">
      <c r="A90" s="2">
        <v>0.375</v>
      </c>
      <c r="B90" s="3">
        <v>4.5339999999999998</v>
      </c>
    </row>
    <row r="91" spans="1:2" x14ac:dyDescent="0.35">
      <c r="A91" s="2">
        <v>0.752</v>
      </c>
      <c r="B91" s="3">
        <v>4.5190000000000001</v>
      </c>
    </row>
    <row r="92" spans="1:2" x14ac:dyDescent="0.35">
      <c r="A92" s="2">
        <v>0.42799999999999999</v>
      </c>
      <c r="B92" s="3">
        <v>4.516</v>
      </c>
    </row>
    <row r="93" spans="1:2" x14ac:dyDescent="0.35">
      <c r="A93" s="2">
        <v>0.58099999999999996</v>
      </c>
      <c r="B93" s="3">
        <v>4.5090000000000003</v>
      </c>
    </row>
    <row r="94" spans="1:2" x14ac:dyDescent="0.35">
      <c r="A94" s="2">
        <v>0.48899999999999999</v>
      </c>
      <c r="B94" s="3">
        <v>4.49</v>
      </c>
    </row>
    <row r="95" spans="1:2" x14ac:dyDescent="0.35">
      <c r="A95" s="2">
        <v>0.39</v>
      </c>
      <c r="B95" s="3">
        <v>4.4660000000000002</v>
      </c>
    </row>
    <row r="96" spans="1:2" x14ac:dyDescent="0.35">
      <c r="A96" s="2">
        <v>0.57399999999999995</v>
      </c>
      <c r="B96" s="3">
        <v>4.4370000000000003</v>
      </c>
    </row>
    <row r="97" spans="1:2" x14ac:dyDescent="0.35">
      <c r="A97" s="2">
        <v>0.35699999999999998</v>
      </c>
      <c r="B97" s="3">
        <v>4.4180000000000001</v>
      </c>
    </row>
    <row r="98" spans="1:2" x14ac:dyDescent="0.35">
      <c r="A98" s="2">
        <v>0.308</v>
      </c>
      <c r="B98" s="3">
        <v>4.3899999999999997</v>
      </c>
    </row>
    <row r="99" spans="1:2" x14ac:dyDescent="0.35">
      <c r="A99" s="2">
        <v>0.24199999999999999</v>
      </c>
      <c r="B99" s="3">
        <v>4.3739999999999997</v>
      </c>
    </row>
    <row r="100" spans="1:2" x14ac:dyDescent="0.35">
      <c r="A100" s="2">
        <v>0.192</v>
      </c>
      <c r="B100" s="3">
        <v>4.3499999999999996</v>
      </c>
    </row>
    <row r="101" spans="1:2" x14ac:dyDescent="0.35">
      <c r="A101" s="2">
        <v>0.53200000000000003</v>
      </c>
      <c r="B101" s="3">
        <v>4.2859999999999996</v>
      </c>
    </row>
    <row r="102" spans="1:2" x14ac:dyDescent="0.35">
      <c r="A102" s="2">
        <v>0</v>
      </c>
      <c r="B102" s="3">
        <v>4.2119999999999997</v>
      </c>
    </row>
    <row r="103" spans="1:2" x14ac:dyDescent="0.35">
      <c r="A103" s="2">
        <v>0.38</v>
      </c>
      <c r="B103" s="3">
        <v>4.181</v>
      </c>
    </row>
    <row r="104" spans="1:2" x14ac:dyDescent="0.35">
      <c r="A104" s="2">
        <v>0.64400000000000002</v>
      </c>
      <c r="B104" s="3">
        <v>4.1660000000000004</v>
      </c>
    </row>
    <row r="105" spans="1:2" x14ac:dyDescent="0.35">
      <c r="A105" s="2">
        <v>0.55500000000000005</v>
      </c>
      <c r="B105" s="3">
        <v>4.1464999999999996</v>
      </c>
    </row>
    <row r="106" spans="1:2" x14ac:dyDescent="0.35">
      <c r="A106" s="2">
        <v>0.42599999999999999</v>
      </c>
      <c r="B106" s="3">
        <v>4.1070000000000002</v>
      </c>
    </row>
    <row r="107" spans="1:2" x14ac:dyDescent="0.35">
      <c r="A107" s="2">
        <v>0.41</v>
      </c>
      <c r="B107" s="3">
        <v>4.085</v>
      </c>
    </row>
    <row r="108" spans="1:2" x14ac:dyDescent="0.35">
      <c r="A108" s="2">
        <v>0.443</v>
      </c>
      <c r="B108" s="3">
        <v>4.0819999999999999</v>
      </c>
    </row>
    <row r="109" spans="1:2" x14ac:dyDescent="0.35">
      <c r="A109" s="2">
        <v>0.58799999999999997</v>
      </c>
      <c r="B109" s="3">
        <v>4.0149999999999997</v>
      </c>
    </row>
    <row r="110" spans="1:2" x14ac:dyDescent="0.35">
      <c r="A110" s="2">
        <v>0.505</v>
      </c>
      <c r="B110" s="3">
        <v>3.9729999999999999</v>
      </c>
    </row>
    <row r="111" spans="1:2" x14ac:dyDescent="0.35">
      <c r="A111" s="2">
        <v>0.16800000000000001</v>
      </c>
      <c r="B111" s="3">
        <v>3.802</v>
      </c>
    </row>
    <row r="112" spans="1:2" x14ac:dyDescent="0.35">
      <c r="A112" s="2">
        <v>0.433</v>
      </c>
      <c r="B112" s="3">
        <v>3.6629999999999998</v>
      </c>
    </row>
    <row r="113" spans="1:2" x14ac:dyDescent="0.35">
      <c r="A113" s="2">
        <v>0.44900000000000001</v>
      </c>
      <c r="B113" s="3">
        <v>3.597</v>
      </c>
    </row>
    <row r="114" spans="1:2" x14ac:dyDescent="0.35">
      <c r="A114" s="2">
        <v>0.53800000000000003</v>
      </c>
      <c r="B114" s="3">
        <v>3.488</v>
      </c>
    </row>
    <row r="115" spans="1:2" x14ac:dyDescent="0.35">
      <c r="A115" s="2">
        <v>0.44</v>
      </c>
      <c r="B115" s="3">
        <v>3.4620000000000002</v>
      </c>
    </row>
    <row r="116" spans="1:2" x14ac:dyDescent="0.35">
      <c r="A116" s="2">
        <v>0.495</v>
      </c>
      <c r="B116" s="3">
        <v>3.41</v>
      </c>
    </row>
    <row r="117" spans="1:2" x14ac:dyDescent="0.35">
      <c r="A117" s="2">
        <v>0.46300000000000002</v>
      </c>
      <c r="B117" s="3">
        <v>3.38</v>
      </c>
    </row>
    <row r="118" spans="1:2" x14ac:dyDescent="0.35">
      <c r="A118" s="2">
        <v>0.61399999999999999</v>
      </c>
      <c r="B118" s="3">
        <v>3.3340000000000001</v>
      </c>
    </row>
    <row r="119" spans="1:2" x14ac:dyDescent="0.35">
      <c r="A119" s="2">
        <v>0.499</v>
      </c>
      <c r="B119" s="3">
        <v>3.2309999999999999</v>
      </c>
    </row>
    <row r="120" spans="1:2" x14ac:dyDescent="0.35">
      <c r="A120" s="2">
        <v>0.36099999999999999</v>
      </c>
      <c r="B120" s="3">
        <v>3.2029999999999998</v>
      </c>
    </row>
    <row r="121" spans="1:2" x14ac:dyDescent="0.35">
      <c r="A121" s="2">
        <v>0.105</v>
      </c>
      <c r="B121" s="3">
        <v>3.0830000000000002</v>
      </c>
    </row>
    <row r="122" spans="1:2" x14ac:dyDescent="0.35">
      <c r="A122" s="2">
        <v>0.29499999999999998</v>
      </c>
      <c r="B122" s="3">
        <v>2.8530000000000002</v>
      </c>
    </row>
    <row r="123" spans="1:2" x14ac:dyDescent="0.35">
      <c r="A123" s="2" t="s">
        <v>172</v>
      </c>
      <c r="B123" s="3">
        <v>5.4070961538461555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"/>
  <sheetViews>
    <sheetView workbookViewId="0">
      <pane ySplit="1" topLeftCell="A2" activePane="bottomLeft" state="frozen"/>
      <selection pane="bottomLeft" activeCell="C1" sqref="C1:D1048576"/>
    </sheetView>
  </sheetViews>
  <sheetFormatPr defaultRowHeight="14.5" x14ac:dyDescent="0.35"/>
  <cols>
    <col min="1" max="1" width="12.453125" customWidth="1"/>
    <col min="2" max="2" width="19.36328125" customWidth="1"/>
    <col min="4" max="4" width="14.36328125" customWidth="1"/>
    <col min="5" max="5" width="12.453125" customWidth="1"/>
    <col min="6" max="6" width="19.81640625" customWidth="1"/>
    <col min="7" max="7" width="8.54296875" customWidth="1"/>
    <col min="8" max="9" width="9.6328125" customWidth="1"/>
    <col min="12" max="12" width="21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163</v>
      </c>
      <c r="H1" t="s">
        <v>6</v>
      </c>
      <c r="I1" t="s">
        <v>164</v>
      </c>
    </row>
    <row r="2" spans="1:13" x14ac:dyDescent="0.35">
      <c r="A2">
        <v>1</v>
      </c>
      <c r="B2" t="s">
        <v>7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  <c r="L2" t="s">
        <v>165</v>
      </c>
    </row>
    <row r="3" spans="1:13" x14ac:dyDescent="0.35">
      <c r="A3">
        <v>2</v>
      </c>
      <c r="B3" t="s">
        <v>8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  <c r="L3" t="s">
        <v>170</v>
      </c>
      <c r="M3">
        <f>AVERAGE(C:C)</f>
        <v>5.4070961538461528</v>
      </c>
    </row>
    <row r="4" spans="1:13" x14ac:dyDescent="0.35">
      <c r="A4">
        <v>3</v>
      </c>
      <c r="B4" t="s">
        <v>9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  <c r="L4" t="s">
        <v>169</v>
      </c>
      <c r="M4">
        <f>MAX(C:C)</f>
        <v>7.7690000000000001</v>
      </c>
    </row>
    <row r="5" spans="1:13" x14ac:dyDescent="0.35">
      <c r="A5">
        <v>4</v>
      </c>
      <c r="B5" t="s">
        <v>10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  <c r="L5" t="s">
        <v>166</v>
      </c>
      <c r="M5">
        <f>MIN(C:C)</f>
        <v>2.8530000000000002</v>
      </c>
    </row>
    <row r="6" spans="1:13" x14ac:dyDescent="0.35">
      <c r="A6">
        <v>5</v>
      </c>
      <c r="B6" t="s">
        <v>11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  <c r="L6" t="s">
        <v>167</v>
      </c>
      <c r="M6">
        <f>AVERAGE(D:D)</f>
        <v>0.90514743589743629</v>
      </c>
    </row>
    <row r="7" spans="1:13" x14ac:dyDescent="0.35">
      <c r="A7">
        <v>6</v>
      </c>
      <c r="B7" t="s">
        <v>12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  <c r="L7" t="s">
        <v>168</v>
      </c>
      <c r="M7">
        <f>AVERAGE(F:F)</f>
        <v>0.72524358974358982</v>
      </c>
    </row>
    <row r="8" spans="1:13" x14ac:dyDescent="0.35">
      <c r="A8">
        <v>7</v>
      </c>
      <c r="B8" t="s">
        <v>13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13" x14ac:dyDescent="0.35">
      <c r="A9">
        <v>8</v>
      </c>
      <c r="B9" t="s">
        <v>14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13" x14ac:dyDescent="0.35">
      <c r="A10">
        <v>9</v>
      </c>
      <c r="B10" t="s">
        <v>15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13" x14ac:dyDescent="0.35">
      <c r="A11">
        <v>10</v>
      </c>
      <c r="B11" t="s">
        <v>16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13" x14ac:dyDescent="0.35">
      <c r="A12">
        <v>11</v>
      </c>
      <c r="B12" t="s">
        <v>17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13" x14ac:dyDescent="0.35">
      <c r="A13">
        <v>12</v>
      </c>
      <c r="B13" t="s">
        <v>18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13" x14ac:dyDescent="0.35">
      <c r="A14">
        <v>13</v>
      </c>
      <c r="B14" t="s">
        <v>19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13" x14ac:dyDescent="0.35">
      <c r="A15">
        <v>14</v>
      </c>
      <c r="B15" t="s">
        <v>20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13" x14ac:dyDescent="0.35">
      <c r="A16">
        <v>15</v>
      </c>
      <c r="B16" t="s">
        <v>21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 x14ac:dyDescent="0.35">
      <c r="A17">
        <v>16</v>
      </c>
      <c r="B17" t="s">
        <v>22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 x14ac:dyDescent="0.35">
      <c r="A18">
        <v>17</v>
      </c>
      <c r="B18" t="s">
        <v>23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 x14ac:dyDescent="0.35">
      <c r="A19">
        <v>18</v>
      </c>
      <c r="B19" t="s">
        <v>24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 x14ac:dyDescent="0.35">
      <c r="A20">
        <v>19</v>
      </c>
      <c r="B20" t="s">
        <v>25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 x14ac:dyDescent="0.35">
      <c r="A21">
        <v>20</v>
      </c>
      <c r="B21" t="s">
        <v>26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 x14ac:dyDescent="0.35">
      <c r="A22">
        <v>21</v>
      </c>
      <c r="B22" t="s">
        <v>27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 x14ac:dyDescent="0.35">
      <c r="A23">
        <v>22</v>
      </c>
      <c r="B23" t="s">
        <v>28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 x14ac:dyDescent="0.35">
      <c r="A24">
        <v>23</v>
      </c>
      <c r="B24" t="s">
        <v>29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 x14ac:dyDescent="0.35">
      <c r="A25">
        <v>24</v>
      </c>
      <c r="B25" t="s">
        <v>30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 x14ac:dyDescent="0.35">
      <c r="A26">
        <v>25</v>
      </c>
      <c r="B26" t="s">
        <v>31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 x14ac:dyDescent="0.35">
      <c r="A27">
        <v>26</v>
      </c>
      <c r="B27" t="s">
        <v>32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 x14ac:dyDescent="0.35">
      <c r="A28">
        <v>27</v>
      </c>
      <c r="B28" t="s">
        <v>33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 x14ac:dyDescent="0.35">
      <c r="A29">
        <v>28</v>
      </c>
      <c r="B29" t="s">
        <v>34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 x14ac:dyDescent="0.35">
      <c r="A30">
        <v>29</v>
      </c>
      <c r="B30" t="s">
        <v>35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 x14ac:dyDescent="0.35">
      <c r="A31">
        <v>30</v>
      </c>
      <c r="B31" t="s">
        <v>36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 x14ac:dyDescent="0.35">
      <c r="A32">
        <v>31</v>
      </c>
      <c r="B32" t="s">
        <v>37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 x14ac:dyDescent="0.35">
      <c r="A33">
        <v>32</v>
      </c>
      <c r="B33" t="s">
        <v>38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 x14ac:dyDescent="0.35">
      <c r="A34">
        <v>33</v>
      </c>
      <c r="B34" t="s">
        <v>39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 x14ac:dyDescent="0.35">
      <c r="A35">
        <v>34</v>
      </c>
      <c r="B35" t="s">
        <v>40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 x14ac:dyDescent="0.35">
      <c r="A36">
        <v>35</v>
      </c>
      <c r="B36" t="s">
        <v>41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 x14ac:dyDescent="0.35">
      <c r="A37">
        <v>36</v>
      </c>
      <c r="B37" t="s">
        <v>42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 x14ac:dyDescent="0.35">
      <c r="A38">
        <v>37</v>
      </c>
      <c r="B38" t="s">
        <v>43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 x14ac:dyDescent="0.35">
      <c r="A39">
        <v>38</v>
      </c>
      <c r="B39" t="s">
        <v>44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 x14ac:dyDescent="0.35">
      <c r="A40">
        <v>39</v>
      </c>
      <c r="B40" t="s">
        <v>45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 x14ac:dyDescent="0.35">
      <c r="A41">
        <v>40</v>
      </c>
      <c r="B41" t="s">
        <v>46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 x14ac:dyDescent="0.35">
      <c r="A42">
        <v>41</v>
      </c>
      <c r="B42" t="s">
        <v>47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 x14ac:dyDescent="0.35">
      <c r="A43">
        <v>42</v>
      </c>
      <c r="B43" t="s">
        <v>48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 x14ac:dyDescent="0.35">
      <c r="A44">
        <v>43</v>
      </c>
      <c r="B44" t="s">
        <v>49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 x14ac:dyDescent="0.35">
      <c r="A45">
        <v>44</v>
      </c>
      <c r="B45" t="s">
        <v>50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 x14ac:dyDescent="0.35">
      <c r="A46">
        <v>45</v>
      </c>
      <c r="B46" t="s">
        <v>51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 x14ac:dyDescent="0.35">
      <c r="A47">
        <v>46</v>
      </c>
      <c r="B47" t="s">
        <v>52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 x14ac:dyDescent="0.35">
      <c r="A48">
        <v>47</v>
      </c>
      <c r="B48" t="s">
        <v>53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 x14ac:dyDescent="0.35">
      <c r="A49">
        <v>48</v>
      </c>
      <c r="B49" t="s">
        <v>54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 x14ac:dyDescent="0.35">
      <c r="A50">
        <v>49</v>
      </c>
      <c r="B50" t="s">
        <v>55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 x14ac:dyDescent="0.35">
      <c r="A51">
        <v>50</v>
      </c>
      <c r="B51" t="s">
        <v>56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 x14ac:dyDescent="0.35">
      <c r="A52">
        <v>51</v>
      </c>
      <c r="B52" t="s">
        <v>57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 x14ac:dyDescent="0.35">
      <c r="A53">
        <v>52</v>
      </c>
      <c r="B53" t="s">
        <v>58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 x14ac:dyDescent="0.35">
      <c r="A54">
        <v>53</v>
      </c>
      <c r="B54" t="s">
        <v>59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 x14ac:dyDescent="0.35">
      <c r="A55">
        <v>54</v>
      </c>
      <c r="B55" t="s">
        <v>60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 x14ac:dyDescent="0.35">
      <c r="A56">
        <v>55</v>
      </c>
      <c r="B56" t="s">
        <v>61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 x14ac:dyDescent="0.35">
      <c r="A57">
        <v>56</v>
      </c>
      <c r="B57" t="s">
        <v>62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 x14ac:dyDescent="0.35">
      <c r="A58">
        <v>57</v>
      </c>
      <c r="B58" t="s">
        <v>63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 x14ac:dyDescent="0.35">
      <c r="A59">
        <v>58</v>
      </c>
      <c r="B59" t="s">
        <v>64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 x14ac:dyDescent="0.35">
      <c r="A60">
        <v>59</v>
      </c>
      <c r="B60" t="s">
        <v>65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 x14ac:dyDescent="0.35">
      <c r="A61">
        <v>60</v>
      </c>
      <c r="B61" t="s">
        <v>66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 x14ac:dyDescent="0.35">
      <c r="A62">
        <v>61</v>
      </c>
      <c r="B62" t="s">
        <v>67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 x14ac:dyDescent="0.35">
      <c r="A63">
        <v>62</v>
      </c>
      <c r="B63" t="s">
        <v>68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 x14ac:dyDescent="0.35">
      <c r="A64">
        <v>63</v>
      </c>
      <c r="B64" t="s">
        <v>69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 x14ac:dyDescent="0.35">
      <c r="A65">
        <v>64</v>
      </c>
      <c r="B65" t="s">
        <v>70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 x14ac:dyDescent="0.35">
      <c r="A66">
        <v>65</v>
      </c>
      <c r="B66" t="s">
        <v>71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 x14ac:dyDescent="0.35">
      <c r="A67">
        <v>66</v>
      </c>
      <c r="B67" t="s">
        <v>72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 x14ac:dyDescent="0.35">
      <c r="A68">
        <v>67</v>
      </c>
      <c r="B68" t="s">
        <v>73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 x14ac:dyDescent="0.35">
      <c r="A69">
        <v>68</v>
      </c>
      <c r="B69" t="s">
        <v>74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 x14ac:dyDescent="0.35">
      <c r="A70">
        <v>69</v>
      </c>
      <c r="B70" t="s">
        <v>75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 x14ac:dyDescent="0.35">
      <c r="A71">
        <v>70</v>
      </c>
      <c r="B71" t="s">
        <v>76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 x14ac:dyDescent="0.35">
      <c r="A72">
        <v>71</v>
      </c>
      <c r="B72" t="s">
        <v>77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 x14ac:dyDescent="0.35">
      <c r="A73">
        <v>72</v>
      </c>
      <c r="B73" t="s">
        <v>78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 x14ac:dyDescent="0.35">
      <c r="A74">
        <v>73</v>
      </c>
      <c r="B74" t="s">
        <v>79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 x14ac:dyDescent="0.35">
      <c r="A75">
        <v>74</v>
      </c>
      <c r="B75" t="s">
        <v>80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 x14ac:dyDescent="0.35">
      <c r="A76">
        <v>75</v>
      </c>
      <c r="B76" t="s">
        <v>81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 x14ac:dyDescent="0.35">
      <c r="A77">
        <v>76</v>
      </c>
      <c r="B77" t="s">
        <v>82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 x14ac:dyDescent="0.35">
      <c r="A78">
        <v>77</v>
      </c>
      <c r="B78" t="s">
        <v>83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 x14ac:dyDescent="0.35">
      <c r="A79">
        <v>78</v>
      </c>
      <c r="B79" t="s">
        <v>84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 x14ac:dyDescent="0.35">
      <c r="A80">
        <v>79</v>
      </c>
      <c r="B80" t="s">
        <v>85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 x14ac:dyDescent="0.35">
      <c r="A81">
        <v>80</v>
      </c>
      <c r="B81" t="s">
        <v>86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 x14ac:dyDescent="0.35">
      <c r="A82">
        <v>81</v>
      </c>
      <c r="B82" t="s">
        <v>87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 x14ac:dyDescent="0.35">
      <c r="A83">
        <v>82</v>
      </c>
      <c r="B83" t="s">
        <v>88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 x14ac:dyDescent="0.35">
      <c r="A84">
        <v>83</v>
      </c>
      <c r="B84" t="s">
        <v>89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 x14ac:dyDescent="0.35">
      <c r="A85">
        <v>84</v>
      </c>
      <c r="B85" t="s">
        <v>90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 x14ac:dyDescent="0.35">
      <c r="A86">
        <v>85</v>
      </c>
      <c r="B86" t="s">
        <v>91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 x14ac:dyDescent="0.35">
      <c r="A87">
        <v>86</v>
      </c>
      <c r="B87" t="s">
        <v>92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 x14ac:dyDescent="0.35">
      <c r="A88">
        <v>87</v>
      </c>
      <c r="B88" t="s">
        <v>93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 x14ac:dyDescent="0.35">
      <c r="A89">
        <v>88</v>
      </c>
      <c r="B89" t="s">
        <v>94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 x14ac:dyDescent="0.35">
      <c r="A90">
        <v>89</v>
      </c>
      <c r="B90" t="s">
        <v>95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 x14ac:dyDescent="0.35">
      <c r="A91">
        <v>90</v>
      </c>
      <c r="B91" t="s">
        <v>96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 x14ac:dyDescent="0.35">
      <c r="A92">
        <v>91</v>
      </c>
      <c r="B92" t="s">
        <v>97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 x14ac:dyDescent="0.35">
      <c r="A93">
        <v>92</v>
      </c>
      <c r="B93" t="s">
        <v>98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 x14ac:dyDescent="0.35">
      <c r="A94">
        <v>93</v>
      </c>
      <c r="B94" t="s">
        <v>99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 x14ac:dyDescent="0.35">
      <c r="A95">
        <v>94</v>
      </c>
      <c r="B95" t="s">
        <v>100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 x14ac:dyDescent="0.35">
      <c r="A96">
        <v>95</v>
      </c>
      <c r="B96" t="s">
        <v>101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 x14ac:dyDescent="0.35">
      <c r="A97">
        <v>96</v>
      </c>
      <c r="B97" t="s">
        <v>102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 x14ac:dyDescent="0.35">
      <c r="A98">
        <v>97</v>
      </c>
      <c r="B98" t="s">
        <v>103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 x14ac:dyDescent="0.35">
      <c r="A99">
        <v>98</v>
      </c>
      <c r="B99" t="s">
        <v>104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 x14ac:dyDescent="0.35">
      <c r="A100">
        <v>99</v>
      </c>
      <c r="B100" t="s">
        <v>105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 x14ac:dyDescent="0.35">
      <c r="A101">
        <v>100</v>
      </c>
      <c r="B101" t="s">
        <v>106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 x14ac:dyDescent="0.35">
      <c r="A102">
        <v>101</v>
      </c>
      <c r="B102" t="s">
        <v>107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 x14ac:dyDescent="0.35">
      <c r="A103">
        <v>102</v>
      </c>
      <c r="B103" t="s">
        <v>108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 x14ac:dyDescent="0.35">
      <c r="A104">
        <v>103</v>
      </c>
      <c r="B104" t="s">
        <v>109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 x14ac:dyDescent="0.35">
      <c r="A105">
        <v>104</v>
      </c>
      <c r="B105" t="s">
        <v>110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 x14ac:dyDescent="0.35">
      <c r="A106">
        <v>105</v>
      </c>
      <c r="B106" t="s">
        <v>111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 x14ac:dyDescent="0.35">
      <c r="A107">
        <v>106</v>
      </c>
      <c r="B107" t="s">
        <v>112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 x14ac:dyDescent="0.35">
      <c r="A108">
        <v>107</v>
      </c>
      <c r="B108" t="s">
        <v>113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 x14ac:dyDescent="0.35">
      <c r="A109">
        <v>108</v>
      </c>
      <c r="B109" t="s">
        <v>114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 x14ac:dyDescent="0.35">
      <c r="A110">
        <v>109</v>
      </c>
      <c r="B110" t="s">
        <v>115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 x14ac:dyDescent="0.35">
      <c r="A111">
        <v>110</v>
      </c>
      <c r="B111" t="s">
        <v>116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 x14ac:dyDescent="0.35">
      <c r="A112">
        <v>111</v>
      </c>
      <c r="B112" t="s">
        <v>117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 x14ac:dyDescent="0.35">
      <c r="A113">
        <v>112</v>
      </c>
      <c r="B113" t="s">
        <v>118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 x14ac:dyDescent="0.35">
      <c r="A114">
        <v>113</v>
      </c>
      <c r="B114" t="s">
        <v>119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 x14ac:dyDescent="0.35">
      <c r="A115">
        <v>114</v>
      </c>
      <c r="B115" t="s">
        <v>120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 x14ac:dyDescent="0.35">
      <c r="A116">
        <v>115</v>
      </c>
      <c r="B116" t="s">
        <v>121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 x14ac:dyDescent="0.35">
      <c r="A117">
        <v>116</v>
      </c>
      <c r="B117" t="s">
        <v>122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 x14ac:dyDescent="0.35">
      <c r="A118">
        <v>117</v>
      </c>
      <c r="B118" t="s">
        <v>123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 x14ac:dyDescent="0.35">
      <c r="A119">
        <v>118</v>
      </c>
      <c r="B119" t="s">
        <v>124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 x14ac:dyDescent="0.35">
      <c r="A120">
        <v>119</v>
      </c>
      <c r="B120" t="s">
        <v>125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 x14ac:dyDescent="0.35">
      <c r="A121">
        <v>120</v>
      </c>
      <c r="B121" t="s">
        <v>126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 x14ac:dyDescent="0.35">
      <c r="A122">
        <v>121</v>
      </c>
      <c r="B122" t="s">
        <v>127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 x14ac:dyDescent="0.35">
      <c r="A123">
        <v>122</v>
      </c>
      <c r="B123" t="s">
        <v>128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 x14ac:dyDescent="0.35">
      <c r="A124">
        <v>123</v>
      </c>
      <c r="B124" t="s">
        <v>129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 x14ac:dyDescent="0.35">
      <c r="A125">
        <v>124</v>
      </c>
      <c r="B125" t="s">
        <v>130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 x14ac:dyDescent="0.35">
      <c r="A126">
        <v>125</v>
      </c>
      <c r="B126" t="s">
        <v>131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 x14ac:dyDescent="0.35">
      <c r="A127">
        <v>126</v>
      </c>
      <c r="B127" t="s">
        <v>132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 x14ac:dyDescent="0.35">
      <c r="A128">
        <v>127</v>
      </c>
      <c r="B128" t="s">
        <v>133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 x14ac:dyDescent="0.35">
      <c r="A129">
        <v>128</v>
      </c>
      <c r="B129" t="s">
        <v>134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 x14ac:dyDescent="0.35">
      <c r="A130">
        <v>129</v>
      </c>
      <c r="B130" t="s">
        <v>135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 x14ac:dyDescent="0.35">
      <c r="A131">
        <v>130</v>
      </c>
      <c r="B131" t="s">
        <v>136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 x14ac:dyDescent="0.35">
      <c r="A132">
        <v>131</v>
      </c>
      <c r="B132" t="s">
        <v>137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 x14ac:dyDescent="0.35">
      <c r="A133">
        <v>132</v>
      </c>
      <c r="B133" t="s">
        <v>138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 x14ac:dyDescent="0.35">
      <c r="A134">
        <v>133</v>
      </c>
      <c r="B134" t="s">
        <v>139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 x14ac:dyDescent="0.35">
      <c r="A135">
        <v>134</v>
      </c>
      <c r="B135" t="s">
        <v>140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 x14ac:dyDescent="0.35">
      <c r="A136">
        <v>135</v>
      </c>
      <c r="B136" t="s">
        <v>141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 x14ac:dyDescent="0.35">
      <c r="A137">
        <v>136</v>
      </c>
      <c r="B137" t="s">
        <v>142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 x14ac:dyDescent="0.35">
      <c r="A138">
        <v>137</v>
      </c>
      <c r="B138" t="s">
        <v>143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 x14ac:dyDescent="0.35">
      <c r="A139">
        <v>138</v>
      </c>
      <c r="B139" t="s">
        <v>144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 x14ac:dyDescent="0.35">
      <c r="A140">
        <v>139</v>
      </c>
      <c r="B140" t="s">
        <v>145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 x14ac:dyDescent="0.35">
      <c r="A141">
        <v>140</v>
      </c>
      <c r="B141" t="s">
        <v>146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 x14ac:dyDescent="0.35">
      <c r="A142">
        <v>141</v>
      </c>
      <c r="B142" t="s">
        <v>147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 x14ac:dyDescent="0.35">
      <c r="A143">
        <v>142</v>
      </c>
      <c r="B143" t="s">
        <v>148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 x14ac:dyDescent="0.35">
      <c r="A144">
        <v>143</v>
      </c>
      <c r="B144" t="s">
        <v>149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 x14ac:dyDescent="0.35">
      <c r="A145">
        <v>144</v>
      </c>
      <c r="B145" t="s">
        <v>150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 x14ac:dyDescent="0.35">
      <c r="A146">
        <v>145</v>
      </c>
      <c r="B146" t="s">
        <v>151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 x14ac:dyDescent="0.35">
      <c r="A147">
        <v>146</v>
      </c>
      <c r="B147" t="s">
        <v>152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 x14ac:dyDescent="0.35">
      <c r="A148">
        <v>147</v>
      </c>
      <c r="B148" t="s">
        <v>153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 x14ac:dyDescent="0.35">
      <c r="A149">
        <v>148</v>
      </c>
      <c r="B149" t="s">
        <v>154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 x14ac:dyDescent="0.35">
      <c r="A150">
        <v>149</v>
      </c>
      <c r="B150" t="s">
        <v>155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 x14ac:dyDescent="0.35">
      <c r="A151">
        <v>150</v>
      </c>
      <c r="B151" t="s">
        <v>156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 x14ac:dyDescent="0.35">
      <c r="A152">
        <v>151</v>
      </c>
      <c r="B152" t="s">
        <v>157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 x14ac:dyDescent="0.35">
      <c r="A153">
        <v>152</v>
      </c>
      <c r="B153" t="s">
        <v>158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 x14ac:dyDescent="0.35">
      <c r="A154">
        <v>153</v>
      </c>
      <c r="B154" t="s">
        <v>159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 x14ac:dyDescent="0.35">
      <c r="A155">
        <v>154</v>
      </c>
      <c r="B155" t="s">
        <v>160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 x14ac:dyDescent="0.35">
      <c r="A156">
        <v>155</v>
      </c>
      <c r="B156" t="s">
        <v>161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 x14ac:dyDescent="0.35">
      <c r="A157">
        <v>156</v>
      </c>
      <c r="B157" t="s">
        <v>162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2.453125" customWidth="1"/>
    <col min="2" max="2" width="19.36328125" customWidth="1"/>
    <col min="4" max="4" width="14.36328125" customWidth="1"/>
    <col min="5" max="5" width="12.453125" customWidth="1"/>
    <col min="6" max="6" width="19.81640625" customWidth="1"/>
    <col min="7" max="7" width="8.54296875" customWidth="1"/>
    <col min="8" max="9" width="9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163</v>
      </c>
      <c r="H1" t="s">
        <v>6</v>
      </c>
      <c r="I1" t="s">
        <v>164</v>
      </c>
    </row>
    <row r="2" spans="1:9" x14ac:dyDescent="0.35">
      <c r="A2">
        <v>1</v>
      </c>
      <c r="B2" t="s">
        <v>7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</row>
    <row r="3" spans="1:9" x14ac:dyDescent="0.35">
      <c r="A3">
        <v>2</v>
      </c>
      <c r="B3" t="s">
        <v>8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</row>
    <row r="4" spans="1:9" x14ac:dyDescent="0.35">
      <c r="A4">
        <v>3</v>
      </c>
      <c r="B4" t="s">
        <v>9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</row>
    <row r="5" spans="1:9" x14ac:dyDescent="0.35">
      <c r="A5">
        <v>4</v>
      </c>
      <c r="B5" t="s">
        <v>10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</row>
    <row r="6" spans="1:9" x14ac:dyDescent="0.35">
      <c r="A6">
        <v>5</v>
      </c>
      <c r="B6" t="s">
        <v>11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</row>
    <row r="7" spans="1:9" x14ac:dyDescent="0.35">
      <c r="A7">
        <v>6</v>
      </c>
      <c r="B7" t="s">
        <v>12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</row>
    <row r="8" spans="1:9" x14ac:dyDescent="0.35">
      <c r="A8">
        <v>7</v>
      </c>
      <c r="B8" t="s">
        <v>13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9" x14ac:dyDescent="0.35">
      <c r="A9">
        <v>8</v>
      </c>
      <c r="B9" t="s">
        <v>14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9" x14ac:dyDescent="0.35">
      <c r="A10">
        <v>9</v>
      </c>
      <c r="B10" t="s">
        <v>15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9" x14ac:dyDescent="0.35">
      <c r="A11">
        <v>10</v>
      </c>
      <c r="B11" t="s">
        <v>16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9" x14ac:dyDescent="0.35">
      <c r="A12">
        <v>11</v>
      </c>
      <c r="B12" t="s">
        <v>17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9" x14ac:dyDescent="0.35">
      <c r="A13">
        <v>12</v>
      </c>
      <c r="B13" t="s">
        <v>18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9" x14ac:dyDescent="0.35">
      <c r="A14">
        <v>13</v>
      </c>
      <c r="B14" t="s">
        <v>19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9" x14ac:dyDescent="0.35">
      <c r="A15">
        <v>14</v>
      </c>
      <c r="B15" t="s">
        <v>20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9" x14ac:dyDescent="0.35">
      <c r="A16">
        <v>15</v>
      </c>
      <c r="B16" t="s">
        <v>21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 x14ac:dyDescent="0.35">
      <c r="A17">
        <v>16</v>
      </c>
      <c r="B17" t="s">
        <v>22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 x14ac:dyDescent="0.35">
      <c r="A18">
        <v>17</v>
      </c>
      <c r="B18" t="s">
        <v>23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 x14ac:dyDescent="0.35">
      <c r="A19">
        <v>18</v>
      </c>
      <c r="B19" t="s">
        <v>24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 x14ac:dyDescent="0.35">
      <c r="A20">
        <v>19</v>
      </c>
      <c r="B20" t="s">
        <v>25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 x14ac:dyDescent="0.35">
      <c r="A21">
        <v>20</v>
      </c>
      <c r="B21" t="s">
        <v>26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 x14ac:dyDescent="0.35">
      <c r="A22">
        <v>21</v>
      </c>
      <c r="B22" t="s">
        <v>27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 x14ac:dyDescent="0.35">
      <c r="A23">
        <v>22</v>
      </c>
      <c r="B23" t="s">
        <v>28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 x14ac:dyDescent="0.35">
      <c r="A24">
        <v>23</v>
      </c>
      <c r="B24" t="s">
        <v>29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 x14ac:dyDescent="0.35">
      <c r="A25">
        <v>24</v>
      </c>
      <c r="B25" t="s">
        <v>30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 x14ac:dyDescent="0.35">
      <c r="A26">
        <v>25</v>
      </c>
      <c r="B26" t="s">
        <v>31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 x14ac:dyDescent="0.35">
      <c r="A27">
        <v>26</v>
      </c>
      <c r="B27" t="s">
        <v>32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 x14ac:dyDescent="0.35">
      <c r="A28">
        <v>27</v>
      </c>
      <c r="B28" t="s">
        <v>33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 x14ac:dyDescent="0.35">
      <c r="A29">
        <v>28</v>
      </c>
      <c r="B29" t="s">
        <v>34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 x14ac:dyDescent="0.35">
      <c r="A30">
        <v>29</v>
      </c>
      <c r="B30" t="s">
        <v>35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 x14ac:dyDescent="0.35">
      <c r="A31">
        <v>30</v>
      </c>
      <c r="B31" t="s">
        <v>36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 x14ac:dyDescent="0.35">
      <c r="A32">
        <v>31</v>
      </c>
      <c r="B32" t="s">
        <v>37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 x14ac:dyDescent="0.35">
      <c r="A33">
        <v>32</v>
      </c>
      <c r="B33" t="s">
        <v>38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 x14ac:dyDescent="0.35">
      <c r="A34">
        <v>33</v>
      </c>
      <c r="B34" t="s">
        <v>39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 x14ac:dyDescent="0.35">
      <c r="A35">
        <v>34</v>
      </c>
      <c r="B35" t="s">
        <v>40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 x14ac:dyDescent="0.35">
      <c r="A36">
        <v>35</v>
      </c>
      <c r="B36" t="s">
        <v>41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 x14ac:dyDescent="0.35">
      <c r="A37">
        <v>36</v>
      </c>
      <c r="B37" t="s">
        <v>42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 x14ac:dyDescent="0.35">
      <c r="A38">
        <v>37</v>
      </c>
      <c r="B38" t="s">
        <v>43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 x14ac:dyDescent="0.35">
      <c r="A39">
        <v>38</v>
      </c>
      <c r="B39" t="s">
        <v>44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 x14ac:dyDescent="0.35">
      <c r="A40">
        <v>39</v>
      </c>
      <c r="B40" t="s">
        <v>45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 x14ac:dyDescent="0.35">
      <c r="A41">
        <v>40</v>
      </c>
      <c r="B41" t="s">
        <v>46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 x14ac:dyDescent="0.35">
      <c r="A42">
        <v>41</v>
      </c>
      <c r="B42" t="s">
        <v>47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 x14ac:dyDescent="0.35">
      <c r="A43">
        <v>42</v>
      </c>
      <c r="B43" t="s">
        <v>48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 x14ac:dyDescent="0.35">
      <c r="A44">
        <v>43</v>
      </c>
      <c r="B44" t="s">
        <v>49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 x14ac:dyDescent="0.35">
      <c r="A45">
        <v>44</v>
      </c>
      <c r="B45" t="s">
        <v>50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 x14ac:dyDescent="0.35">
      <c r="A46">
        <v>45</v>
      </c>
      <c r="B46" t="s">
        <v>51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 x14ac:dyDescent="0.35">
      <c r="A47">
        <v>46</v>
      </c>
      <c r="B47" t="s">
        <v>52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 x14ac:dyDescent="0.35">
      <c r="A48">
        <v>47</v>
      </c>
      <c r="B48" t="s">
        <v>53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 x14ac:dyDescent="0.35">
      <c r="A49">
        <v>48</v>
      </c>
      <c r="B49" t="s">
        <v>54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 x14ac:dyDescent="0.35">
      <c r="A50">
        <v>49</v>
      </c>
      <c r="B50" t="s">
        <v>55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 x14ac:dyDescent="0.35">
      <c r="A51">
        <v>50</v>
      </c>
      <c r="B51" t="s">
        <v>56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 x14ac:dyDescent="0.35">
      <c r="A52">
        <v>51</v>
      </c>
      <c r="B52" t="s">
        <v>57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 x14ac:dyDescent="0.35">
      <c r="A53">
        <v>52</v>
      </c>
      <c r="B53" t="s">
        <v>58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 x14ac:dyDescent="0.35">
      <c r="A54">
        <v>53</v>
      </c>
      <c r="B54" t="s">
        <v>59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 x14ac:dyDescent="0.35">
      <c r="A55">
        <v>54</v>
      </c>
      <c r="B55" t="s">
        <v>60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 x14ac:dyDescent="0.35">
      <c r="A56">
        <v>55</v>
      </c>
      <c r="B56" t="s">
        <v>61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 x14ac:dyDescent="0.35">
      <c r="A57">
        <v>56</v>
      </c>
      <c r="B57" t="s">
        <v>62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 x14ac:dyDescent="0.35">
      <c r="A58">
        <v>57</v>
      </c>
      <c r="B58" t="s">
        <v>63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 x14ac:dyDescent="0.35">
      <c r="A59">
        <v>58</v>
      </c>
      <c r="B59" t="s">
        <v>64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 x14ac:dyDescent="0.35">
      <c r="A60">
        <v>59</v>
      </c>
      <c r="B60" t="s">
        <v>65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 x14ac:dyDescent="0.35">
      <c r="A61">
        <v>60</v>
      </c>
      <c r="B61" t="s">
        <v>66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 x14ac:dyDescent="0.35">
      <c r="A62">
        <v>61</v>
      </c>
      <c r="B62" t="s">
        <v>67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 x14ac:dyDescent="0.35">
      <c r="A63">
        <v>62</v>
      </c>
      <c r="B63" t="s">
        <v>68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 x14ac:dyDescent="0.35">
      <c r="A64">
        <v>63</v>
      </c>
      <c r="B64" t="s">
        <v>69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 x14ac:dyDescent="0.35">
      <c r="A65">
        <v>64</v>
      </c>
      <c r="B65" t="s">
        <v>70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 x14ac:dyDescent="0.35">
      <c r="A66">
        <v>65</v>
      </c>
      <c r="B66" t="s">
        <v>71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 x14ac:dyDescent="0.35">
      <c r="A67">
        <v>66</v>
      </c>
      <c r="B67" t="s">
        <v>72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 x14ac:dyDescent="0.35">
      <c r="A68">
        <v>67</v>
      </c>
      <c r="B68" t="s">
        <v>73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 x14ac:dyDescent="0.35">
      <c r="A69">
        <v>68</v>
      </c>
      <c r="B69" t="s">
        <v>74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 x14ac:dyDescent="0.35">
      <c r="A70">
        <v>69</v>
      </c>
      <c r="B70" t="s">
        <v>75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 x14ac:dyDescent="0.35">
      <c r="A71">
        <v>70</v>
      </c>
      <c r="B71" t="s">
        <v>76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 x14ac:dyDescent="0.35">
      <c r="A72">
        <v>71</v>
      </c>
      <c r="B72" t="s">
        <v>77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 x14ac:dyDescent="0.35">
      <c r="A73">
        <v>72</v>
      </c>
      <c r="B73" t="s">
        <v>78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 x14ac:dyDescent="0.35">
      <c r="A74">
        <v>73</v>
      </c>
      <c r="B74" t="s">
        <v>79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 x14ac:dyDescent="0.35">
      <c r="A75">
        <v>74</v>
      </c>
      <c r="B75" t="s">
        <v>80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 x14ac:dyDescent="0.35">
      <c r="A76">
        <v>75</v>
      </c>
      <c r="B76" t="s">
        <v>81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 x14ac:dyDescent="0.35">
      <c r="A77">
        <v>76</v>
      </c>
      <c r="B77" t="s">
        <v>82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 x14ac:dyDescent="0.35">
      <c r="A78">
        <v>77</v>
      </c>
      <c r="B78" t="s">
        <v>83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 x14ac:dyDescent="0.35">
      <c r="A79">
        <v>78</v>
      </c>
      <c r="B79" t="s">
        <v>84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 x14ac:dyDescent="0.35">
      <c r="A80">
        <v>79</v>
      </c>
      <c r="B80" t="s">
        <v>85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 x14ac:dyDescent="0.35">
      <c r="A81">
        <v>80</v>
      </c>
      <c r="B81" t="s">
        <v>86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 x14ac:dyDescent="0.35">
      <c r="A82">
        <v>81</v>
      </c>
      <c r="B82" t="s">
        <v>87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 x14ac:dyDescent="0.35">
      <c r="A83">
        <v>82</v>
      </c>
      <c r="B83" t="s">
        <v>88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 x14ac:dyDescent="0.35">
      <c r="A84">
        <v>83</v>
      </c>
      <c r="B84" t="s">
        <v>89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 x14ac:dyDescent="0.35">
      <c r="A85">
        <v>84</v>
      </c>
      <c r="B85" t="s">
        <v>90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 x14ac:dyDescent="0.35">
      <c r="A86">
        <v>85</v>
      </c>
      <c r="B86" t="s">
        <v>91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 x14ac:dyDescent="0.35">
      <c r="A87">
        <v>86</v>
      </c>
      <c r="B87" t="s">
        <v>92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 x14ac:dyDescent="0.35">
      <c r="A88">
        <v>87</v>
      </c>
      <c r="B88" t="s">
        <v>93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 x14ac:dyDescent="0.35">
      <c r="A89">
        <v>88</v>
      </c>
      <c r="B89" t="s">
        <v>94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 x14ac:dyDescent="0.35">
      <c r="A90">
        <v>89</v>
      </c>
      <c r="B90" t="s">
        <v>95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 x14ac:dyDescent="0.35">
      <c r="A91">
        <v>90</v>
      </c>
      <c r="B91" t="s">
        <v>96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 x14ac:dyDescent="0.35">
      <c r="A92">
        <v>91</v>
      </c>
      <c r="B92" t="s">
        <v>97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 x14ac:dyDescent="0.35">
      <c r="A93">
        <v>92</v>
      </c>
      <c r="B93" t="s">
        <v>98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 x14ac:dyDescent="0.35">
      <c r="A94">
        <v>93</v>
      </c>
      <c r="B94" t="s">
        <v>99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 x14ac:dyDescent="0.35">
      <c r="A95">
        <v>94</v>
      </c>
      <c r="B95" t="s">
        <v>100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 x14ac:dyDescent="0.35">
      <c r="A96">
        <v>95</v>
      </c>
      <c r="B96" t="s">
        <v>101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 x14ac:dyDescent="0.35">
      <c r="A97">
        <v>96</v>
      </c>
      <c r="B97" t="s">
        <v>102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 x14ac:dyDescent="0.35">
      <c r="A98">
        <v>97</v>
      </c>
      <c r="B98" t="s">
        <v>103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 x14ac:dyDescent="0.35">
      <c r="A99">
        <v>98</v>
      </c>
      <c r="B99" t="s">
        <v>104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 x14ac:dyDescent="0.35">
      <c r="A100">
        <v>99</v>
      </c>
      <c r="B100" t="s">
        <v>105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 x14ac:dyDescent="0.35">
      <c r="A101">
        <v>100</v>
      </c>
      <c r="B101" t="s">
        <v>106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 x14ac:dyDescent="0.35">
      <c r="A102">
        <v>101</v>
      </c>
      <c r="B102" t="s">
        <v>107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 x14ac:dyDescent="0.35">
      <c r="A103">
        <v>102</v>
      </c>
      <c r="B103" t="s">
        <v>108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 x14ac:dyDescent="0.35">
      <c r="A104">
        <v>103</v>
      </c>
      <c r="B104" t="s">
        <v>109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 x14ac:dyDescent="0.35">
      <c r="A105">
        <v>104</v>
      </c>
      <c r="B105" t="s">
        <v>110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 x14ac:dyDescent="0.35">
      <c r="A106">
        <v>105</v>
      </c>
      <c r="B106" t="s">
        <v>111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 x14ac:dyDescent="0.35">
      <c r="A107">
        <v>106</v>
      </c>
      <c r="B107" t="s">
        <v>112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 x14ac:dyDescent="0.35">
      <c r="A108">
        <v>107</v>
      </c>
      <c r="B108" t="s">
        <v>113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 x14ac:dyDescent="0.35">
      <c r="A109">
        <v>108</v>
      </c>
      <c r="B109" t="s">
        <v>114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 x14ac:dyDescent="0.35">
      <c r="A110">
        <v>109</v>
      </c>
      <c r="B110" t="s">
        <v>115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 x14ac:dyDescent="0.35">
      <c r="A111">
        <v>110</v>
      </c>
      <c r="B111" t="s">
        <v>116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 x14ac:dyDescent="0.35">
      <c r="A112">
        <v>111</v>
      </c>
      <c r="B112" t="s">
        <v>117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 x14ac:dyDescent="0.35">
      <c r="A113">
        <v>112</v>
      </c>
      <c r="B113" t="s">
        <v>118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 x14ac:dyDescent="0.35">
      <c r="A114">
        <v>113</v>
      </c>
      <c r="B114" t="s">
        <v>119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 x14ac:dyDescent="0.35">
      <c r="A115">
        <v>114</v>
      </c>
      <c r="B115" t="s">
        <v>120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 x14ac:dyDescent="0.35">
      <c r="A116">
        <v>115</v>
      </c>
      <c r="B116" t="s">
        <v>121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 x14ac:dyDescent="0.35">
      <c r="A117">
        <v>116</v>
      </c>
      <c r="B117" t="s">
        <v>122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 x14ac:dyDescent="0.35">
      <c r="A118">
        <v>117</v>
      </c>
      <c r="B118" t="s">
        <v>123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 x14ac:dyDescent="0.35">
      <c r="A119">
        <v>118</v>
      </c>
      <c r="B119" t="s">
        <v>124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 x14ac:dyDescent="0.35">
      <c r="A120">
        <v>119</v>
      </c>
      <c r="B120" t="s">
        <v>125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 x14ac:dyDescent="0.35">
      <c r="A121">
        <v>120</v>
      </c>
      <c r="B121" t="s">
        <v>126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 x14ac:dyDescent="0.35">
      <c r="A122">
        <v>121</v>
      </c>
      <c r="B122" t="s">
        <v>127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 x14ac:dyDescent="0.35">
      <c r="A123">
        <v>122</v>
      </c>
      <c r="B123" t="s">
        <v>128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 x14ac:dyDescent="0.35">
      <c r="A124">
        <v>123</v>
      </c>
      <c r="B124" t="s">
        <v>129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 x14ac:dyDescent="0.35">
      <c r="A125">
        <v>124</v>
      </c>
      <c r="B125" t="s">
        <v>130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 x14ac:dyDescent="0.35">
      <c r="A126">
        <v>125</v>
      </c>
      <c r="B126" t="s">
        <v>131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 x14ac:dyDescent="0.35">
      <c r="A127">
        <v>126</v>
      </c>
      <c r="B127" t="s">
        <v>132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 x14ac:dyDescent="0.35">
      <c r="A128">
        <v>127</v>
      </c>
      <c r="B128" t="s">
        <v>133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 x14ac:dyDescent="0.35">
      <c r="A129">
        <v>128</v>
      </c>
      <c r="B129" t="s">
        <v>134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 x14ac:dyDescent="0.35">
      <c r="A130">
        <v>129</v>
      </c>
      <c r="B130" t="s">
        <v>135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 x14ac:dyDescent="0.35">
      <c r="A131">
        <v>130</v>
      </c>
      <c r="B131" t="s">
        <v>136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 x14ac:dyDescent="0.35">
      <c r="A132">
        <v>131</v>
      </c>
      <c r="B132" t="s">
        <v>137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 x14ac:dyDescent="0.35">
      <c r="A133">
        <v>132</v>
      </c>
      <c r="B133" t="s">
        <v>138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 x14ac:dyDescent="0.35">
      <c r="A134">
        <v>133</v>
      </c>
      <c r="B134" t="s">
        <v>139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 x14ac:dyDescent="0.35">
      <c r="A135">
        <v>134</v>
      </c>
      <c r="B135" t="s">
        <v>140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 x14ac:dyDescent="0.35">
      <c r="A136">
        <v>135</v>
      </c>
      <c r="B136" t="s">
        <v>141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 x14ac:dyDescent="0.35">
      <c r="A137">
        <v>136</v>
      </c>
      <c r="B137" t="s">
        <v>142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 x14ac:dyDescent="0.35">
      <c r="A138">
        <v>137</v>
      </c>
      <c r="B138" t="s">
        <v>143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 x14ac:dyDescent="0.35">
      <c r="A139">
        <v>138</v>
      </c>
      <c r="B139" t="s">
        <v>144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 x14ac:dyDescent="0.35">
      <c r="A140">
        <v>139</v>
      </c>
      <c r="B140" t="s">
        <v>145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 x14ac:dyDescent="0.35">
      <c r="A141">
        <v>140</v>
      </c>
      <c r="B141" t="s">
        <v>146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 x14ac:dyDescent="0.35">
      <c r="A142">
        <v>141</v>
      </c>
      <c r="B142" t="s">
        <v>147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 x14ac:dyDescent="0.35">
      <c r="A143">
        <v>142</v>
      </c>
      <c r="B143" t="s">
        <v>148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 x14ac:dyDescent="0.35">
      <c r="A144">
        <v>143</v>
      </c>
      <c r="B144" t="s">
        <v>149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 x14ac:dyDescent="0.35">
      <c r="A145">
        <v>144</v>
      </c>
      <c r="B145" t="s">
        <v>150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 x14ac:dyDescent="0.35">
      <c r="A146">
        <v>145</v>
      </c>
      <c r="B146" t="s">
        <v>151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 x14ac:dyDescent="0.35">
      <c r="A147">
        <v>146</v>
      </c>
      <c r="B147" t="s">
        <v>152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 x14ac:dyDescent="0.35">
      <c r="A148">
        <v>147</v>
      </c>
      <c r="B148" t="s">
        <v>153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 x14ac:dyDescent="0.35">
      <c r="A149">
        <v>148</v>
      </c>
      <c r="B149" t="s">
        <v>154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 x14ac:dyDescent="0.35">
      <c r="A150">
        <v>149</v>
      </c>
      <c r="B150" t="s">
        <v>155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 x14ac:dyDescent="0.35">
      <c r="A151">
        <v>150</v>
      </c>
      <c r="B151" t="s">
        <v>156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 x14ac:dyDescent="0.35">
      <c r="A152">
        <v>151</v>
      </c>
      <c r="B152" t="s">
        <v>157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 x14ac:dyDescent="0.35">
      <c r="A153">
        <v>152</v>
      </c>
      <c r="B153" t="s">
        <v>158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 x14ac:dyDescent="0.35">
      <c r="A154">
        <v>153</v>
      </c>
      <c r="B154" t="s">
        <v>159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 x14ac:dyDescent="0.35">
      <c r="A155">
        <v>154</v>
      </c>
      <c r="B155" t="s">
        <v>160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 x14ac:dyDescent="0.35">
      <c r="A156">
        <v>155</v>
      </c>
      <c r="B156" t="s">
        <v>161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 x14ac:dyDescent="0.35">
      <c r="A157">
        <v>156</v>
      </c>
      <c r="B157" t="s">
        <v>162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Pivot_country</vt:lpstr>
      <vt:lpstr>Dashboard</vt:lpstr>
      <vt:lpstr>Pivot_GDP</vt:lpstr>
      <vt:lpstr>scatter_data</vt:lpstr>
      <vt:lpstr>Pivot_life</vt:lpstr>
      <vt:lpstr>Analysis_data</vt:lpstr>
      <vt:lpstr>Happiness_2019_Raw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Moorche</cp:lastModifiedBy>
  <dcterms:created xsi:type="dcterms:W3CDTF">2025-11-23T12:48:27Z</dcterms:created>
  <dcterms:modified xsi:type="dcterms:W3CDTF">2025-11-24T13:47:10Z</dcterms:modified>
</cp:coreProperties>
</file>